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beaulieu_jake_epa_gov/Documents/gitRepository/SuRGE/SuRGE_Sharepoint/data/chemistry/anions_ada_daniels/"/>
    </mc:Choice>
  </mc:AlternateContent>
  <xr:revisionPtr revIDLastSave="514" documentId="8_{68CB6FE6-277B-4C15-94C0-A16C56F3F7ED}" xr6:coauthVersionLast="47" xr6:coauthVersionMax="47" xr10:uidLastSave="{A4EE639B-FE75-4159-80D9-7AA17B46CA02}"/>
  <bookViews>
    <workbookView xWindow="11424" yWindow="0" windowWidth="23232" windowHeight="18576" firstSheet="1" activeTab="4" xr2:uid="{85E63B8E-FFBE-4C0F-9188-C153FFE35C44}"/>
  </bookViews>
  <sheets>
    <sheet name="Sequence_210806" sheetId="2" r:id="rId1"/>
    <sheet name="Sequence_210827" sheetId="1" r:id="rId2"/>
    <sheet name="Sequence_220127" sheetId="5" r:id="rId3"/>
    <sheet name="2021_SURGE_anions" sheetId="3" r:id="rId4"/>
    <sheet name="long_format" sheetId="6" r:id="rId5"/>
  </sheets>
  <definedNames>
    <definedName name="_xlnm._FilterDatabase" localSheetId="3" hidden="1">'2021_SURGE_anions'!$A$1:$L$153</definedName>
    <definedName name="_xlnm._FilterDatabase" localSheetId="4" hidden="1">long_format!$A$1:$F$349</definedName>
    <definedName name="_xlnm._FilterDatabase" localSheetId="0" hidden="1">Sequence_210806!$B$1:$L$31</definedName>
    <definedName name="_xlnm._FilterDatabase" localSheetId="1" hidden="1">Sequence_210827!$B$1:$L$253</definedName>
    <definedName name="_xlnm._FilterDatabase" localSheetId="2" hidden="1">Sequence_220127!$B$1:$L$73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3" i="3" l="1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Beaulieu, Jake</author>
  </authors>
  <commentList>
    <comment ref="A37" authorId="0" shapeId="0" xr:uid="{00000000-0006-0000-0300-000001000000}">
      <text>
        <r>
          <rPr>
            <b/>
            <sz val="9"/>
            <color indexed="81"/>
            <rFont val="Tahoma"/>
            <charset val="1"/>
          </rPr>
          <t>Beaulieu, Jake:</t>
        </r>
        <r>
          <rPr>
            <sz val="9"/>
            <color indexed="81"/>
            <rFont val="Tahoma"/>
            <charset val="1"/>
          </rPr>
          <t xml:space="preserve">
3/14/22:
Sample did not have 'TRANS' when reported by Kit.
</t>
        </r>
      </text>
    </comment>
    <comment ref="A38" authorId="0" shapeId="0" xr:uid="{00000000-0006-0000-0300-000002000000}">
      <text>
        <r>
          <rPr>
            <b/>
            <sz val="9"/>
            <color indexed="81"/>
            <rFont val="Tahoma"/>
            <charset val="1"/>
          </rPr>
          <t>Beaulieu, Jake:</t>
        </r>
        <r>
          <rPr>
            <sz val="9"/>
            <color indexed="81"/>
            <rFont val="Tahoma"/>
            <charset val="1"/>
          </rPr>
          <t xml:space="preserve">
3/14/22:
Sample did not have 'TRANS' when reported by Kit.
</t>
        </r>
      </text>
    </comment>
    <comment ref="A39" authorId="0" shapeId="0" xr:uid="{00000000-0006-0000-0300-000003000000}">
      <text>
        <r>
          <rPr>
            <b/>
            <sz val="9"/>
            <color indexed="81"/>
            <rFont val="Tahoma"/>
            <charset val="1"/>
          </rPr>
          <t>Beaulieu, Jake:</t>
        </r>
        <r>
          <rPr>
            <sz val="9"/>
            <color indexed="81"/>
            <rFont val="Tahoma"/>
            <charset val="1"/>
          </rPr>
          <t xml:space="preserve">
3/14/22:
Sample did not have 'TRANS' when reported by Kit.
</t>
        </r>
      </text>
    </comment>
    <comment ref="A40" authorId="0" shapeId="0" xr:uid="{00000000-0006-0000-0300-000004000000}">
      <text>
        <r>
          <rPr>
            <b/>
            <sz val="9"/>
            <color indexed="81"/>
            <rFont val="Tahoma"/>
            <charset val="1"/>
          </rPr>
          <t>Beaulieu, Jake:</t>
        </r>
        <r>
          <rPr>
            <sz val="9"/>
            <color indexed="81"/>
            <rFont val="Tahoma"/>
            <charset val="1"/>
          </rPr>
          <t xml:space="preserve">
3/14/22:
Sample did not have 'TRANS' when reported by Kit.
</t>
        </r>
      </text>
    </comment>
    <comment ref="A41" authorId="0" shapeId="0" xr:uid="{00000000-0006-0000-0300-000005000000}">
      <text>
        <r>
          <rPr>
            <b/>
            <sz val="9"/>
            <color indexed="81"/>
            <rFont val="Tahoma"/>
            <charset val="1"/>
          </rPr>
          <t>Beaulieu, Jake:</t>
        </r>
        <r>
          <rPr>
            <sz val="9"/>
            <color indexed="81"/>
            <rFont val="Tahoma"/>
            <charset val="1"/>
          </rPr>
          <t xml:space="preserve">
3/14/22:
Sample did not have 'TRANS' when reported by Kit.
</t>
        </r>
      </text>
    </comment>
    <comment ref="A42" authorId="0" shapeId="0" xr:uid="{00000000-0006-0000-0300-000006000000}">
      <text>
        <r>
          <rPr>
            <b/>
            <sz val="9"/>
            <color indexed="81"/>
            <rFont val="Tahoma"/>
            <charset val="1"/>
          </rPr>
          <t>Beaulieu, Jake:</t>
        </r>
        <r>
          <rPr>
            <sz val="9"/>
            <color indexed="81"/>
            <rFont val="Tahoma"/>
            <charset val="1"/>
          </rPr>
          <t xml:space="preserve">
3/14/22:
Sample did not have 'TRANS' when reported by Kit.
</t>
        </r>
      </text>
    </comment>
    <comment ref="A52" authorId="0" shapeId="0" xr:uid="{00000000-0006-0000-0300-000007000000}">
      <text>
        <r>
          <rPr>
            <b/>
            <sz val="9"/>
            <color indexed="81"/>
            <rFont val="Tahoma"/>
            <charset val="1"/>
          </rPr>
          <t>Beaulieu, Jake:</t>
        </r>
        <r>
          <rPr>
            <sz val="9"/>
            <color indexed="81"/>
            <rFont val="Tahoma"/>
            <charset val="1"/>
          </rPr>
          <t xml:space="preserve">
3/14/22
Lake 71 was incorrectly labeled lake 76.  I have corrected here.
</t>
        </r>
      </text>
    </comment>
    <comment ref="A53" authorId="0" shapeId="0" xr:uid="{00000000-0006-0000-0300-000008000000}">
      <text>
        <r>
          <rPr>
            <b/>
            <sz val="9"/>
            <color indexed="81"/>
            <rFont val="Tahoma"/>
            <charset val="1"/>
          </rPr>
          <t>Beaulieu, Jake:</t>
        </r>
        <r>
          <rPr>
            <sz val="9"/>
            <color indexed="81"/>
            <rFont val="Tahoma"/>
            <charset val="1"/>
          </rPr>
          <t xml:space="preserve">
3/14/22
Lake 71 was incorrectly labeled lake 76.  I have corrected here.
</t>
        </r>
      </text>
    </comment>
    <comment ref="A54" authorId="0" shapeId="0" xr:uid="{00000000-0006-0000-0300-000009000000}">
      <text>
        <r>
          <rPr>
            <b/>
            <sz val="9"/>
            <color indexed="81"/>
            <rFont val="Tahoma"/>
            <charset val="1"/>
          </rPr>
          <t>Beaulieu, Jake:</t>
        </r>
        <r>
          <rPr>
            <sz val="9"/>
            <color indexed="81"/>
            <rFont val="Tahoma"/>
            <charset val="1"/>
          </rPr>
          <t xml:space="preserve">
3/14/22
Lake 71 was incorrectly labeled lake 76.  I have corrected here.
</t>
        </r>
      </text>
    </comment>
    <comment ref="A55" authorId="0" shapeId="0" xr:uid="{00000000-0006-0000-0300-00000A000000}">
      <text>
        <r>
          <rPr>
            <b/>
            <sz val="9"/>
            <color indexed="81"/>
            <rFont val="Tahoma"/>
            <charset val="1"/>
          </rPr>
          <t>Beaulieu, Jake:</t>
        </r>
        <r>
          <rPr>
            <sz val="9"/>
            <color indexed="81"/>
            <rFont val="Tahoma"/>
            <charset val="1"/>
          </rPr>
          <t xml:space="preserve">
3/14/22
Lake 71 was incorrectly labeled lake 76.  I have corrected here.
</t>
        </r>
      </text>
    </comment>
    <comment ref="A149" authorId="0" shapeId="0" xr:uid="{00000000-0006-0000-0300-00000B000000}">
      <text>
        <r>
          <rPr>
            <b/>
            <sz val="9"/>
            <color indexed="81"/>
            <rFont val="Tahoma"/>
            <charset val="1"/>
          </rPr>
          <t>Beaulieu, Jake:</t>
        </r>
        <r>
          <rPr>
            <sz val="9"/>
            <color indexed="81"/>
            <rFont val="Tahoma"/>
            <charset val="1"/>
          </rPr>
          <t xml:space="preserve">
3/15/22
lake 78 was not included in this report, but was inluded in Daniels_Anions_2021.xls.  Copied and pasted to here</t>
        </r>
      </text>
    </comment>
    <comment ref="A150" authorId="0" shapeId="0" xr:uid="{00000000-0006-0000-0300-00000C000000}">
      <text>
        <r>
          <rPr>
            <b/>
            <sz val="9"/>
            <color indexed="81"/>
            <rFont val="Tahoma"/>
            <charset val="1"/>
          </rPr>
          <t>Beaulieu, Jake:</t>
        </r>
        <r>
          <rPr>
            <sz val="9"/>
            <color indexed="81"/>
            <rFont val="Tahoma"/>
            <charset val="1"/>
          </rPr>
          <t xml:space="preserve">
3/15/22
lake 78 was not included in this report, but was inluded in Daniels_Anions_2021.xls.  Copied and pasted to here</t>
        </r>
      </text>
    </comment>
    <comment ref="A151" authorId="0" shapeId="0" xr:uid="{00000000-0006-0000-0300-00000D000000}">
      <text>
        <r>
          <rPr>
            <b/>
            <sz val="9"/>
            <color indexed="81"/>
            <rFont val="Tahoma"/>
            <charset val="1"/>
          </rPr>
          <t>Beaulieu, Jake:</t>
        </r>
        <r>
          <rPr>
            <sz val="9"/>
            <color indexed="81"/>
            <rFont val="Tahoma"/>
            <charset val="1"/>
          </rPr>
          <t xml:space="preserve">
3/15/22
lake 78 was not included in this report, but was inluded in Daniels_Anions_2021.xls.  Copied and pasted to here</t>
        </r>
      </text>
    </comment>
    <comment ref="A152" authorId="0" shapeId="0" xr:uid="{00000000-0006-0000-0300-00000E000000}">
      <text>
        <r>
          <rPr>
            <b/>
            <sz val="9"/>
            <color indexed="81"/>
            <rFont val="Tahoma"/>
            <charset val="1"/>
          </rPr>
          <t>Beaulieu, Jake:</t>
        </r>
        <r>
          <rPr>
            <sz val="9"/>
            <color indexed="81"/>
            <rFont val="Tahoma"/>
            <charset val="1"/>
          </rPr>
          <t xml:space="preserve">
3/15/22
lake 78 was not included in this report, but was inluded in Daniels_Anions_2021.xls.  Copied and pasted to here</t>
        </r>
      </text>
    </comment>
    <comment ref="A153" authorId="0" shapeId="0" xr:uid="{00000000-0006-0000-0300-00000F000000}">
      <text>
        <r>
          <rPr>
            <b/>
            <sz val="9"/>
            <color indexed="81"/>
            <rFont val="Tahoma"/>
            <charset val="1"/>
          </rPr>
          <t>Beaulieu, Jake:</t>
        </r>
        <r>
          <rPr>
            <sz val="9"/>
            <color indexed="81"/>
            <rFont val="Tahoma"/>
            <charset val="1"/>
          </rPr>
          <t xml:space="preserve">
3/15/22
lake 78 was not included in this report, but was inluded in Daniels_Anions_2021.xls.  Copied and pasted to here</t>
        </r>
      </text>
    </comment>
  </commentList>
</comments>
</file>

<file path=xl/sharedStrings.xml><?xml version="1.0" encoding="utf-8"?>
<sst xmlns="http://schemas.openxmlformats.org/spreadsheetml/2006/main" count="4367" uniqueCount="663">
  <si>
    <t>Sample ID</t>
  </si>
  <si>
    <t>F (mg/L)</t>
  </si>
  <si>
    <t>Cl (mg/L)</t>
  </si>
  <si>
    <t>DI1</t>
  </si>
  <si>
    <t>STD1</t>
  </si>
  <si>
    <t>STD2</t>
  </si>
  <si>
    <t>STD3</t>
  </si>
  <si>
    <t>STD4</t>
  </si>
  <si>
    <t>STD5</t>
  </si>
  <si>
    <t>STD6</t>
  </si>
  <si>
    <t>DI</t>
  </si>
  <si>
    <t>ICV</t>
  </si>
  <si>
    <t>LCS</t>
  </si>
  <si>
    <t>CH4-288-U10-SHALLOW 100X</t>
  </si>
  <si>
    <t>CH4-288-U10-SHALLOW MS 100X</t>
  </si>
  <si>
    <t>CH4-288-U10-SHALLOW MSD 100X</t>
  </si>
  <si>
    <t>CH4-288-U10-DEEP 100X</t>
  </si>
  <si>
    <t>CH4-288-U10-SHALLOW DUP 100X</t>
  </si>
  <si>
    <t>CH4-316-U03-SHALLOW 20X</t>
  </si>
  <si>
    <t>CH4-316-U03-DEEP 20X</t>
  </si>
  <si>
    <t>CH4-327-U05-SHALLOW 5X</t>
  </si>
  <si>
    <t>CH4-327-U05-DEEP 5X</t>
  </si>
  <si>
    <t>CH4-231-S24-SHALLOW 20X</t>
  </si>
  <si>
    <t>CCV</t>
  </si>
  <si>
    <t>CH4-231-S24-DEEP 20X</t>
  </si>
  <si>
    <t>CH4-070-U06-LAC-SHALLOW</t>
  </si>
  <si>
    <t>CH4-070-U06-LAC-DEEP</t>
  </si>
  <si>
    <t>CH4-070-U06-LAC-SHALLOW-DUP</t>
  </si>
  <si>
    <t>CH4-070-U06-LAC-BLANK</t>
  </si>
  <si>
    <t>CH4-070-U06-RIVER-SHALLOW</t>
  </si>
  <si>
    <t>CH4-070-U06-RIVER-DEEP</t>
  </si>
  <si>
    <t>CH4-068-SU4-SHALLOW</t>
  </si>
  <si>
    <t>CH4-068-SU4-DEEP</t>
  </si>
  <si>
    <t>CH4-069-U07-SHALLOW</t>
  </si>
  <si>
    <t>CH4-069-U07-DEEP</t>
  </si>
  <si>
    <t>CH4-069-U07-DEEP MS</t>
  </si>
  <si>
    <t>CH4-069-U07-DEEP MSD</t>
  </si>
  <si>
    <t>CH4-069-LAC-U04 SHALLOW</t>
  </si>
  <si>
    <t>CH4-078-U29-SHALLOW</t>
  </si>
  <si>
    <t>CH4-078-U29-DEEP</t>
  </si>
  <si>
    <t>CH4-232-U13-SHALLOW</t>
  </si>
  <si>
    <t>CH4-232-U13-DEEP</t>
  </si>
  <si>
    <t>CH4-155-U25-SHALLOW</t>
  </si>
  <si>
    <t>CH4-155-U25-DEEP</t>
  </si>
  <si>
    <t>CH4-155-U25-SHALLOW-DUP</t>
  </si>
  <si>
    <t>CH4-155-U25-SHALLOW-BLANK</t>
  </si>
  <si>
    <t>CH4-069-TRANS-U12-SHALLOW</t>
  </si>
  <si>
    <t>CH4-069-TRANS-U12-DEEP</t>
  </si>
  <si>
    <t>CH4-232-U13-SHALLOW 20X</t>
  </si>
  <si>
    <t>CH4-232-U13-DEEP 20X</t>
  </si>
  <si>
    <t>CH4-155-U25-SHALLOW 5X</t>
  </si>
  <si>
    <t>CH4-155-U25-DEEP 5X</t>
  </si>
  <si>
    <t>CH4-155-U25-SHALLOW-DUP 5X</t>
  </si>
  <si>
    <t>CH4-233-S18-SHALLOW</t>
  </si>
  <si>
    <t>CH4-233-S18-DEEP</t>
  </si>
  <si>
    <t>CH4-233-S18-SHALLOW DUP</t>
  </si>
  <si>
    <t>CH4-233-S18-SHALLOW BLANK</t>
  </si>
  <si>
    <t>CH4-275-U12-SHALLOW</t>
  </si>
  <si>
    <t>CH4-275-U12-SHALLOW-MS</t>
  </si>
  <si>
    <t>CH4-275-U12-SHALLOW-MSD</t>
  </si>
  <si>
    <t>CH4-275-U12-DEEP</t>
  </si>
  <si>
    <t>CH4-275-U12-SHALLOW-DUP</t>
  </si>
  <si>
    <t>CH4-275-U12-SHALLOW-BLANK</t>
  </si>
  <si>
    <t>CH4-236-U07-SHALLOW</t>
  </si>
  <si>
    <t>CH4-236-U07-DEEP</t>
  </si>
  <si>
    <t>CH4-240-01-SHALLOW</t>
  </si>
  <si>
    <t>CH4-240-01-DEEP</t>
  </si>
  <si>
    <t>CH4-070-U06-LAC-SHALLOW 10X</t>
  </si>
  <si>
    <t>CH4-070-U06-LAC-DEEP 10X</t>
  </si>
  <si>
    <t>CH4-070-U06-LAC-SHALLOW-DUP 10X</t>
  </si>
  <si>
    <t>CH4-070-U06-RIVER-SHALLOW 10X</t>
  </si>
  <si>
    <t>CH4-070-U06-RIVER-DEEP 10X</t>
  </si>
  <si>
    <t>CH4-068-SU4-SHALLOW 20X</t>
  </si>
  <si>
    <t>CH4-068-SU4-DEEP 20X</t>
  </si>
  <si>
    <t>CH4-078-U29-SHALLOW 200X</t>
  </si>
  <si>
    <t>CH4-078-U29-DEEP 200X</t>
  </si>
  <si>
    <t>CH4-237-U15-SHALLOW</t>
  </si>
  <si>
    <t>CH4-237-U15-DEEP</t>
  </si>
  <si>
    <t>CH4-149-8-SHALLOW</t>
  </si>
  <si>
    <t>CH4-149-8-DEEP</t>
  </si>
  <si>
    <t>CH4-275-U12-SHALLOW 2X</t>
  </si>
  <si>
    <t>CH4-275-U12-DEEP 2X</t>
  </si>
  <si>
    <t>CH4-275-U12-SHALLOW-DUP 2X</t>
  </si>
  <si>
    <t>CH4-240-01-DEEP 2X</t>
  </si>
  <si>
    <t>CH4-236-U07-SHALLOW 2X</t>
  </si>
  <si>
    <t>CH4-236-U07-DEEP 2X</t>
  </si>
  <si>
    <t>CH4-236-U07-DEEP MS 2X</t>
  </si>
  <si>
    <t>CH4-236-U07-DEEP MSD 2X</t>
  </si>
  <si>
    <t>CH4-067-U04-BLANK</t>
  </si>
  <si>
    <t>CH4-137-04-SHALLOW</t>
  </si>
  <si>
    <t>CH4-137-04-DEEP</t>
  </si>
  <si>
    <t>CH4-137-04-SHALLOW-DUP</t>
  </si>
  <si>
    <t>CH4-137-04-SHALLOW-BLANK</t>
  </si>
  <si>
    <t>CH4-016-08-SHALLOW</t>
  </si>
  <si>
    <t>CH4-016-08-DEEP</t>
  </si>
  <si>
    <t>CH4-082-11-SHALLOW</t>
  </si>
  <si>
    <t>CH4-082-11-DEEP</t>
  </si>
  <si>
    <t>CH4-119-04-SHALLOW</t>
  </si>
  <si>
    <t>CH4-119-04-DEEP</t>
  </si>
  <si>
    <t>CH4-082-11-DEEP 2X</t>
  </si>
  <si>
    <t>072021 BLK</t>
  </si>
  <si>
    <t>072021 RO</t>
  </si>
  <si>
    <t>072021 DCH</t>
  </si>
  <si>
    <t>072021 ERS</t>
  </si>
  <si>
    <t>072021 2.0 HT</t>
  </si>
  <si>
    <t>072021 4.0 HT</t>
  </si>
  <si>
    <t>072021 6.0 HT</t>
  </si>
  <si>
    <t>072021 8.0 HT</t>
  </si>
  <si>
    <t>072021 8.0 HT MS</t>
  </si>
  <si>
    <t>072021 8.0 HT MSD</t>
  </si>
  <si>
    <t>072021 1.1 TT</t>
  </si>
  <si>
    <t>072021 1.2 TT</t>
  </si>
  <si>
    <t>072021 2.1 TT</t>
  </si>
  <si>
    <t>072021 2.2 TT</t>
  </si>
  <si>
    <t>072021 3.1 TT</t>
  </si>
  <si>
    <t>072021 3.1 TT DUP</t>
  </si>
  <si>
    <t>072021 3.2 TT</t>
  </si>
  <si>
    <t>072021 4.1 TT</t>
  </si>
  <si>
    <t>072021 4.2 TT</t>
  </si>
  <si>
    <t>072021 5.1 TT</t>
  </si>
  <si>
    <t>072021 5.2 TT</t>
  </si>
  <si>
    <t>072021 6.1 TT</t>
  </si>
  <si>
    <t>072021 6.2 TT</t>
  </si>
  <si>
    <t>072021 7.1 TT</t>
  </si>
  <si>
    <t>072021 7.2 TT</t>
  </si>
  <si>
    <t>072021 8.1 TT</t>
  </si>
  <si>
    <t>072021 8.1 TT DUP</t>
  </si>
  <si>
    <t>072021 8.2 TT</t>
  </si>
  <si>
    <t>NO2 (mg/L)</t>
  </si>
  <si>
    <t>BR (mg/L)</t>
  </si>
  <si>
    <t>NO3 (mg/L)</t>
  </si>
  <si>
    <t>PO4 (mg/L)</t>
  </si>
  <si>
    <t>SO4 (mg/L)</t>
  </si>
  <si>
    <t>Dilution</t>
  </si>
  <si>
    <t>Comments</t>
  </si>
  <si>
    <t>n.a.</t>
  </si>
  <si>
    <t>thermo std/5</t>
  </si>
  <si>
    <t>thermo std/10</t>
  </si>
  <si>
    <t>500 uL thermo std+50uL spl+4.450mL di</t>
  </si>
  <si>
    <t>500uL thermo std+4.5mL spl</t>
  </si>
  <si>
    <t>500 uL thermo std+4.5 mL di</t>
  </si>
  <si>
    <t>500 uL thermo std+500uL spl+4 mL di</t>
  </si>
  <si>
    <t>2500uL spl+2000uL di + 500 uL thermo std</t>
  </si>
  <si>
    <t>500 uL thermo std+4.5 mL SPL</t>
  </si>
  <si>
    <t>CH4-288-U10-SHALLOW</t>
  </si>
  <si>
    <t>CH4-288-U10-SHALLOW MS</t>
  </si>
  <si>
    <t>CH4-288-U10-SHALLOW MSD</t>
  </si>
  <si>
    <t>CH4-288-U10-DEEP</t>
  </si>
  <si>
    <t>CH4-288-U10-SHALLOW DUP</t>
  </si>
  <si>
    <t>CH4-288-U10-SHALLOW BLANK</t>
  </si>
  <si>
    <t>CH4-316-U03-SHALLOW</t>
  </si>
  <si>
    <t>CH4-316-U03-DEEP</t>
  </si>
  <si>
    <t>CH4-298-U01-SHALLOW</t>
  </si>
  <si>
    <t>CH4-298-U01-DEEP</t>
  </si>
  <si>
    <t>CH4-298-U01-SHALLOW DUP</t>
  </si>
  <si>
    <t>CH4-298-U01-SHALLOW BLANK</t>
  </si>
  <si>
    <t>CH4-326-U05-SHALLOW</t>
  </si>
  <si>
    <t>CH4-326-U05-DEEP</t>
  </si>
  <si>
    <t>CH4-327-U05-SHALLOW</t>
  </si>
  <si>
    <t>CH4-327-U05-DEEP</t>
  </si>
  <si>
    <t>CH4-231-S24-SHALLOW</t>
  </si>
  <si>
    <t>CH4-231-S24-DEEP</t>
  </si>
  <si>
    <t>500 uL thermo std+4500uL spl</t>
  </si>
  <si>
    <t>CH4-082-11-DEEP 5X</t>
  </si>
  <si>
    <t>CH4-082-11-DEEP 5X MS</t>
  </si>
  <si>
    <t>CH4-082-11-DEEP 5X MSD</t>
  </si>
  <si>
    <t>080321 BLK</t>
  </si>
  <si>
    <t>080321 RO</t>
  </si>
  <si>
    <t>080321 DCH</t>
  </si>
  <si>
    <t>080321 ERS</t>
  </si>
  <si>
    <t>080321 1.0 HT</t>
  </si>
  <si>
    <t>080321 3.0 HT</t>
  </si>
  <si>
    <t>080321 5.0 HT</t>
  </si>
  <si>
    <t>080321 7.0 HT</t>
  </si>
  <si>
    <t>080321 1.1 TT</t>
  </si>
  <si>
    <t>080321 1.2 TT</t>
  </si>
  <si>
    <t>080321 2.1 TT</t>
  </si>
  <si>
    <t>080321 2.2 TT</t>
  </si>
  <si>
    <t>080321 3.1 TT</t>
  </si>
  <si>
    <t>080321 3.1 TT DUP</t>
  </si>
  <si>
    <t>080321 3.2 TT</t>
  </si>
  <si>
    <t>080321 4.1 TT</t>
  </si>
  <si>
    <t>080321 4.2 TT</t>
  </si>
  <si>
    <t>080321 5.1 TT</t>
  </si>
  <si>
    <t>080321 5.1 TT TT MS</t>
  </si>
  <si>
    <t>080321 5.1 TT TT MSD</t>
  </si>
  <si>
    <t>080321 5.2 TT</t>
  </si>
  <si>
    <t>080321 6.1 TT</t>
  </si>
  <si>
    <t>080321 6.2 TT</t>
  </si>
  <si>
    <t>080321 7.1 TT</t>
  </si>
  <si>
    <t>080321 7.2 TT</t>
  </si>
  <si>
    <t>080321 8.1 TT</t>
  </si>
  <si>
    <t>080321 8.1 TT DUP</t>
  </si>
  <si>
    <t>500uL thermo std+3.5 di+1mL sp</t>
  </si>
  <si>
    <t>500 uL thermo std + 4500 uL spl</t>
  </si>
  <si>
    <t>CH4-078-U29-DEEP 50X</t>
  </si>
  <si>
    <t>CH4-070-U06-LAC-DEEP MS 10X</t>
  </si>
  <si>
    <t>CH4-070-U06-LAC-DEEP MSD 10X</t>
  </si>
  <si>
    <t>080321 8.2</t>
  </si>
  <si>
    <t>CH4-016-08-SHALLOW MSD</t>
  </si>
  <si>
    <t>CH4-067-04-BLANK</t>
  </si>
  <si>
    <t>CH4-137-04-BLANK</t>
  </si>
  <si>
    <t>CH4-016-08-SHALLOW MS</t>
  </si>
  <si>
    <t>8/27/2021 11:53:02 AM -04:00</t>
  </si>
  <si>
    <t>8/27/2021 12:17:21 PM -04:00</t>
  </si>
  <si>
    <t>8/27/2021 12:42:16 PM -04:00</t>
  </si>
  <si>
    <t>8/27/2021 1:07:11 PM -04:00</t>
  </si>
  <si>
    <t>8/27/2021 1:32:07 PM -04:00</t>
  </si>
  <si>
    <t>8/27/2021 1:57:02 PM -04:00</t>
  </si>
  <si>
    <t>8/27/2021 2:21:58 PM -04:00</t>
  </si>
  <si>
    <t>8/27/2021 2:46:53 PM -04:00</t>
  </si>
  <si>
    <t>8/27/2021 3:11:49 PM -04:00</t>
  </si>
  <si>
    <t>8/27/2021 3:36:44 PM -04:00</t>
  </si>
  <si>
    <t>8/27/2021 4:01:38 PM -04:00</t>
  </si>
  <si>
    <t>8/27/2021 4:26:34 PM -04:00</t>
  </si>
  <si>
    <t>8/27/2021 4:51:29 PM -04:00</t>
  </si>
  <si>
    <t>8/27/2021 5:16:24 PM -04:00</t>
  </si>
  <si>
    <t>8/27/2021 5:41:19 PM -04:00</t>
  </si>
  <si>
    <t>8/27/2021 6:06:14 PM -04:00</t>
  </si>
  <si>
    <t>8/27/2021 6:31:09 PM -04:00</t>
  </si>
  <si>
    <t>8/27/2021 6:56:04 PM -04:00</t>
  </si>
  <si>
    <t>8/27/2021 7:21:01 PM -04:00</t>
  </si>
  <si>
    <t>8/27/2021 7:45:55 PM -04:00</t>
  </si>
  <si>
    <t>8/27/2021 8:10:50 PM -04:00</t>
  </si>
  <si>
    <t>8/27/2021 8:35:46 PM -04:00</t>
  </si>
  <si>
    <t>8/27/2021 9:00:42 PM -04:00</t>
  </si>
  <si>
    <t>8/27/2021 9:25:36 PM -04:00</t>
  </si>
  <si>
    <t>8/27/2021 9:50:31 PM -04:00</t>
  </si>
  <si>
    <t>8/27/2021 10:15:27 PM -04:00</t>
  </si>
  <si>
    <t>8/27/2021 10:40:23 PM -04:00</t>
  </si>
  <si>
    <t>8/27/2021 11:05:18 PM -04:00</t>
  </si>
  <si>
    <t>8/27/2021 11:30:13 PM -04:00</t>
  </si>
  <si>
    <t>8/27/2021 11:55:08 PM -04:00</t>
  </si>
  <si>
    <t>8/28/2021 12:20:04 AM -04:00</t>
  </si>
  <si>
    <t>8/28/2021 12:44:59 AM -04:00</t>
  </si>
  <si>
    <t>8/28/2021 1:09:55 AM -04:00</t>
  </si>
  <si>
    <t>8/28/2021 1:34:52 AM -04:00</t>
  </si>
  <si>
    <t>8/28/2021 1:59:48 AM -04:00</t>
  </si>
  <si>
    <t>8/28/2021 2:24:44 AM -04:00</t>
  </si>
  <si>
    <t>8/28/2021 2:49:39 AM -04:00</t>
  </si>
  <si>
    <t>8/28/2021 3:14:34 AM -04:00</t>
  </si>
  <si>
    <t>8/28/2021 3:39:30 AM -04:00</t>
  </si>
  <si>
    <t>8/28/2021 4:04:25 AM -04:00</t>
  </si>
  <si>
    <t>8/28/2021 4:29:21 AM -04:00</t>
  </si>
  <si>
    <t>8/28/2021 4:54:17 AM -04:00</t>
  </si>
  <si>
    <t>8/28/2021 5:19:13 AM -04:00</t>
  </si>
  <si>
    <t>8/28/2021 5:44:08 AM -04:00</t>
  </si>
  <si>
    <t>8/28/2021 6:09:03 AM -04:00</t>
  </si>
  <si>
    <t>8/28/2021 6:33:59 AM -04:00</t>
  </si>
  <si>
    <t>8/28/2021 6:58:54 AM -04:00</t>
  </si>
  <si>
    <t>8/28/2021 7:23:49 AM -04:00</t>
  </si>
  <si>
    <t>8/28/2021 7:48:44 AM -04:00</t>
  </si>
  <si>
    <t>8/28/2021 8:13:40 AM -04:00</t>
  </si>
  <si>
    <t>9/3/2021 1:17:51 PM -04:00</t>
  </si>
  <si>
    <t>9/3/2021 1:42:11 PM -04:00</t>
  </si>
  <si>
    <t>9/3/2021 2:07:07 PM -04:00</t>
  </si>
  <si>
    <t>9/3/2021 6:41:16 PM -04:00</t>
  </si>
  <si>
    <t>9/3/2021 7:06:12 PM -04:00</t>
  </si>
  <si>
    <t>9/3/2021 7:31:07 PM -04:00</t>
  </si>
  <si>
    <t>9/3/2021 7:56:02 PM -04:00</t>
  </si>
  <si>
    <t>9/3/2021 8:20:57 PM -04:00</t>
  </si>
  <si>
    <t>9/3/2021 8:45:53 PM -04:00</t>
  </si>
  <si>
    <t>9/3/2021 9:10:49 PM -04:00</t>
  </si>
  <si>
    <t>9/3/2021 9:35:45 PM -04:00</t>
  </si>
  <si>
    <t>9/3/2021 10:00:41 PM -04:00</t>
  </si>
  <si>
    <t>9/3/2021 10:25:36 PM -04:00</t>
  </si>
  <si>
    <t>9/3/2021 10:50:32 PM -04:00</t>
  </si>
  <si>
    <t>9/3/2021 11:15:28 PM -04:00</t>
  </si>
  <si>
    <t>9/3/2021 11:40:23 PM -04:00</t>
  </si>
  <si>
    <t>9/4/2021 12:05:19 AM -04:00</t>
  </si>
  <si>
    <t>9/4/2021 12:30:14 AM -04:00</t>
  </si>
  <si>
    <t>9/4/2021 12:55:09 AM -04:00</t>
  </si>
  <si>
    <t>9/4/2021 1:20:04 AM -04:00</t>
  </si>
  <si>
    <t>9/4/2021 1:44:59 AM -04:00</t>
  </si>
  <si>
    <t>9/4/2021 2:09:55 AM -04:00</t>
  </si>
  <si>
    <t>9/4/2021 2:34:50 AM -04:00</t>
  </si>
  <si>
    <t>9/4/2021 2:59:45 AM -04:00</t>
  </si>
  <si>
    <t>9/4/2021 3:24:40 AM -04:00</t>
  </si>
  <si>
    <t>9/4/2021 3:49:37 AM -04:00</t>
  </si>
  <si>
    <t>9/4/2021 4:14:31 AM -04:00</t>
  </si>
  <si>
    <t>9/4/2021 4:39:26 AM -04:00</t>
  </si>
  <si>
    <t>9/9/2021 3:17:28 PM -04:00</t>
  </si>
  <si>
    <t>9/9/2021 3:41:48 PM -04:00</t>
  </si>
  <si>
    <t>9/9/2021 4:06:42 PM -04:00</t>
  </si>
  <si>
    <t>9/9/2021 4:31:38 PM -04:00</t>
  </si>
  <si>
    <t>9/9/2021 4:56:34 PM -04:00</t>
  </si>
  <si>
    <t>9/9/2021 5:21:29 PM -04:00</t>
  </si>
  <si>
    <t>9/9/2021 5:46:23 PM -04:00</t>
  </si>
  <si>
    <t>9/9/2021 6:11:19 PM -04:00</t>
  </si>
  <si>
    <t>9/9/2021 6:36:14 PM -04:00</t>
  </si>
  <si>
    <t>9/9/2021 7:01:09 PM -04:00</t>
  </si>
  <si>
    <t>9/9/2021 7:26:03 PM -04:00</t>
  </si>
  <si>
    <t>9/9/2021 7:50:59 PM -04:00</t>
  </si>
  <si>
    <t>9/9/2021 8:15:54 PM -04:00</t>
  </si>
  <si>
    <t>9/9/2021 8:40:49 PM -04:00</t>
  </si>
  <si>
    <t>9/9/2021 9:05:46 PM -04:00</t>
  </si>
  <si>
    <t>9/9/2021 9:30:42 PM -04:00</t>
  </si>
  <si>
    <t>9/9/2021 9:55:38 PM -04:00</t>
  </si>
  <si>
    <t>9/9/2021 10:20:32 PM -04:00</t>
  </si>
  <si>
    <t>9/9/2021 10:45:27 PM -04:00</t>
  </si>
  <si>
    <t>9/9/2021 11:10:22 PM -04:00</t>
  </si>
  <si>
    <t>9/9/2021 11:35:18 PM -04:00</t>
  </si>
  <si>
    <t>9/10/2021 12:00:13 AM -04:00</t>
  </si>
  <si>
    <t>9/10/2021 12:25:09 AM -04:00</t>
  </si>
  <si>
    <t>9/10/2021 12:50:05 AM -04:00</t>
  </si>
  <si>
    <t>9/10/2021 1:15:00 AM -04:00</t>
  </si>
  <si>
    <t>9/10/2021 1:39:56 AM -04:00</t>
  </si>
  <si>
    <t>9/10/2021 2:04:51 AM -04:00</t>
  </si>
  <si>
    <t>9/10/2021 2:29:47 AM -04:00</t>
  </si>
  <si>
    <t>9/10/2021 2:54:41 AM -04:00</t>
  </si>
  <si>
    <t>9/10/2021 3:19:37 AM -04:00</t>
  </si>
  <si>
    <t>9/10/2021 3:44:32 AM -04:00</t>
  </si>
  <si>
    <t>9/10/2021 4:09:27 AM -04:00</t>
  </si>
  <si>
    <t>9/10/2021 4:34:22 AM -04:00</t>
  </si>
  <si>
    <t>9/10/2021 4:59:18 AM -04:00</t>
  </si>
  <si>
    <t>9/10/2021 5:24:14 AM -04:00</t>
  </si>
  <si>
    <t>9/10/2021 5:49:10 AM -04:00</t>
  </si>
  <si>
    <t>9/10/2021 6:14:04 AM -04:00</t>
  </si>
  <si>
    <t>9/10/2021 6:39:00 AM -04:00</t>
  </si>
  <si>
    <t>9/10/2021 7:03:55 AM -04:00</t>
  </si>
  <si>
    <t>9/10/2021 7:28:50 AM -04:00</t>
  </si>
  <si>
    <t>9/10/2021 7:53:45 AM -04:00</t>
  </si>
  <si>
    <t>9/10/2021 8:18:40 AM -04:00</t>
  </si>
  <si>
    <t>9/10/2021 8:43:35 AM -04:00</t>
  </si>
  <si>
    <t>9/10/2021 2:16:47 PM -04:00</t>
  </si>
  <si>
    <t>9/10/2021 2:41:07 PM -04:00</t>
  </si>
  <si>
    <t>9/10/2021 3:06:02 PM -04:00</t>
  </si>
  <si>
    <t>9/10/2021 3:30:57 PM -04:00</t>
  </si>
  <si>
    <t>9/10/2021 3:55:53 PM -04:00</t>
  </si>
  <si>
    <t>9/10/2021 4:20:49 PM -04:00</t>
  </si>
  <si>
    <t>9/10/2021 4:45:45 PM -04:00</t>
  </si>
  <si>
    <t>9/10/2021 5:10:41 PM -04:00</t>
  </si>
  <si>
    <t>9/10/2021 5:35:36 PM -04:00</t>
  </si>
  <si>
    <t>9/10/2021 6:00:32 PM -04:00</t>
  </si>
  <si>
    <t>9/10/2021 6:25:27 PM -04:00</t>
  </si>
  <si>
    <t>9/10/2021 6:50:24 PM -04:00</t>
  </si>
  <si>
    <t>9/10/2021 7:15:19 PM -04:00</t>
  </si>
  <si>
    <t>9/10/2021 7:40:14 PM -04:00</t>
  </si>
  <si>
    <t>9/10/2021 8:05:09 PM -04:00</t>
  </si>
  <si>
    <t>9/10/2021 8:30:06 PM -04:00</t>
  </si>
  <si>
    <t>9/10/2021 8:55:02 PM -04:00</t>
  </si>
  <si>
    <t>9/10/2021 9:19:58 PM -04:00</t>
  </si>
  <si>
    <t>9/10/2021 9:44:53 PM -04:00</t>
  </si>
  <si>
    <t>9/10/2021 10:09:49 PM -04:00</t>
  </si>
  <si>
    <t>9/10/2021 10:34:45 PM -04:00</t>
  </si>
  <si>
    <t>9/10/2021 10:59:40 PM -04:00</t>
  </si>
  <si>
    <t>9/10/2021 11:24:36 PM -04:00</t>
  </si>
  <si>
    <t>9/10/2021 11:49:30 PM -04:00</t>
  </si>
  <si>
    <t>9/11/2021 12:14:26 AM -04:00</t>
  </si>
  <si>
    <t>9/11/2021 12:39:21 AM -04:00</t>
  </si>
  <si>
    <t>9/11/2021 1:04:17 AM -04:00</t>
  </si>
  <si>
    <t>9/11/2021 1:29:13 AM -04:00</t>
  </si>
  <si>
    <t>9/11/2021 1:54:08 AM -04:00</t>
  </si>
  <si>
    <t>9/11/2021 2:19:04 AM -04:00</t>
  </si>
  <si>
    <t>9/11/2021 2:43:59 AM -04:00</t>
  </si>
  <si>
    <t>9/11/2021 3:08:55 AM -04:00</t>
  </si>
  <si>
    <t>9/11/2021 3:33:50 AM -04:00</t>
  </si>
  <si>
    <t>9/11/2021 3:58:46 AM -04:00</t>
  </si>
  <si>
    <t>9/11/2021 4:23:41 AM -04:00</t>
  </si>
  <si>
    <t>9/16/2021 11:47:02 AM -04:00</t>
  </si>
  <si>
    <t>9/16/2021 12:11:22 PM -04:00</t>
  </si>
  <si>
    <t>9/16/2021 12:36:18 PM -04:00</t>
  </si>
  <si>
    <t>9/16/2021 1:01:13 PM -04:00</t>
  </si>
  <si>
    <t>9/16/2021 1:26:08 PM -04:00</t>
  </si>
  <si>
    <t>9/16/2021 1:51:04 PM -04:00</t>
  </si>
  <si>
    <t>9/16/2021 2:15:59 PM -04:00</t>
  </si>
  <si>
    <t>9/16/2021 2:40:53 PM -04:00</t>
  </si>
  <si>
    <t>9/16/2021 3:05:49 PM -04:00</t>
  </si>
  <si>
    <t>9/16/2021 3:30:44 PM -04:00</t>
  </si>
  <si>
    <t>9/16/2021 3:55:40 PM -04:00</t>
  </si>
  <si>
    <t>9/16/2021 4:20:35 PM -04:00</t>
  </si>
  <si>
    <t>9/16/2021 4:45:30 PM -04:00</t>
  </si>
  <si>
    <t>9/16/2021 5:10:26 PM -04:00</t>
  </si>
  <si>
    <t>9/16/2021 5:35:22 PM -04:00</t>
  </si>
  <si>
    <t>9/16/2021 6:00:18 PM -04:00</t>
  </si>
  <si>
    <t>9/16/2021 6:25:13 PM -04:00</t>
  </si>
  <si>
    <t>9/16/2021 6:50:08 PM -04:00</t>
  </si>
  <si>
    <t>9/16/2021 7:15:03 PM -04:00</t>
  </si>
  <si>
    <t>9/16/2021 7:39:58 PM -04:00</t>
  </si>
  <si>
    <t>9/16/2021 8:04:54 PM -04:00</t>
  </si>
  <si>
    <t>9/16/2021 8:29:50 PM -04:00</t>
  </si>
  <si>
    <t>9/16/2021 8:54:46 PM -04:00</t>
  </si>
  <si>
    <t>9/16/2021 9:19:41 PM -04:00</t>
  </si>
  <si>
    <t>9/16/2021 9:44:37 PM -04:00</t>
  </si>
  <si>
    <t>9/16/2021 10:09:33 PM -04:00</t>
  </si>
  <si>
    <t>9/16/2021 10:34:28 PM -04:00</t>
  </si>
  <si>
    <t>9/16/2021 10:59:24 PM -04:00</t>
  </si>
  <si>
    <t>9/16/2021 11:24:20 PM -04:00</t>
  </si>
  <si>
    <t>9/16/2021 11:49:15 PM -04:00</t>
  </si>
  <si>
    <t>9/17/2021 12:14:12 AM -04:00</t>
  </si>
  <si>
    <t>9/17/2021 12:39:07 AM -04:00</t>
  </si>
  <si>
    <t>9/17/2021 1:04:02 AM -04:00</t>
  </si>
  <si>
    <t>9/17/2021 1:28:57 AM -04:00</t>
  </si>
  <si>
    <t>9/17/2021 1:53:52 AM -04:00</t>
  </si>
  <si>
    <t>9/17/2021 2:18:49 AM -04:00</t>
  </si>
  <si>
    <t>9/17/2021 2:43:43 AM -04:00</t>
  </si>
  <si>
    <t>9/17/2021 3:08:39 AM -04:00</t>
  </si>
  <si>
    <t>9/17/2021 3:33:34 AM -04:00</t>
  </si>
  <si>
    <t>9/17/2021 3:58:31 AM -04:00</t>
  </si>
  <si>
    <t>9/17/2021 1:30:47 PM -04:00</t>
  </si>
  <si>
    <t>9/17/2021 1:55:07 PM -04:00</t>
  </si>
  <si>
    <t>9/17/2021 2:20:02 PM -04:00</t>
  </si>
  <si>
    <t>9/17/2021 2:44:57 PM -04:00</t>
  </si>
  <si>
    <t>9/17/2021 3:09:53 PM -04:00</t>
  </si>
  <si>
    <t>9/17/2021 3:34:48 PM -04:00</t>
  </si>
  <si>
    <t>9/17/2021 3:59:44 PM -04:00</t>
  </si>
  <si>
    <t>9/17/2021 4:24:40 PM -04:00</t>
  </si>
  <si>
    <t>9/17/2021 4:49:35 PM -04:00</t>
  </si>
  <si>
    <t>9/17/2021 5:14:31 PM -04:00</t>
  </si>
  <si>
    <t>9/17/2021 5:39:27 PM -04:00</t>
  </si>
  <si>
    <t>9/17/2021 6:04:23 PM -04:00</t>
  </si>
  <si>
    <t>9/17/2021 6:29:19 PM -04:00</t>
  </si>
  <si>
    <t>9/17/2021 6:54:15 PM -04:00</t>
  </si>
  <si>
    <t>9/17/2021 7:19:10 PM -04:00</t>
  </si>
  <si>
    <t>9/17/2021 7:44:06 PM -04:00</t>
  </si>
  <si>
    <t>9/17/2021 8:09:01 PM -04:00</t>
  </si>
  <si>
    <t>9/17/2021 8:33:55 PM -04:00</t>
  </si>
  <si>
    <t>9/17/2021 8:58:52 PM -04:00</t>
  </si>
  <si>
    <t>9/17/2021 9:23:48 PM -04:00</t>
  </si>
  <si>
    <t>9/17/2021 9:48:44 PM -04:00</t>
  </si>
  <si>
    <t>9/17/2021 10:13:40 PM -04:00</t>
  </si>
  <si>
    <t>9/17/2021 10:38:36 PM -04:00</t>
  </si>
  <si>
    <t>9/17/2021 11:03:30 PM -04:00</t>
  </si>
  <si>
    <t>9/17/2021 11:28:26 PM -04:00</t>
  </si>
  <si>
    <t>9/17/2021 11:53:21 PM -04:00</t>
  </si>
  <si>
    <t>9/18/2021 12:18:17 AM -04:00</t>
  </si>
  <si>
    <t>9/18/2021 12:43:13 AM -04:00</t>
  </si>
  <si>
    <t>9/18/2021 1:08:08 AM -04:00</t>
  </si>
  <si>
    <t>9/18/2021 1:33:04 AM -04:00</t>
  </si>
  <si>
    <t>9/18/2021 1:57:59 AM -04:00</t>
  </si>
  <si>
    <t>9/18/2021 2:22:54 AM -04:00</t>
  </si>
  <si>
    <t>9/18/2021 2:47:50 AM -04:00</t>
  </si>
  <si>
    <t>9/18/2021 3:12:45 AM -04:00</t>
  </si>
  <si>
    <t>9/18/2021 3:37:40 AM -04:00</t>
  </si>
  <si>
    <t>9/18/2021 4:02:36 AM -04:00</t>
  </si>
  <si>
    <t>9/18/2021 4:27:32 AM -04:00</t>
  </si>
  <si>
    <t>9/18/2021 4:52:27 AM -04:00</t>
  </si>
  <si>
    <t>10/15/2021 9:38:42 AM -04:00</t>
  </si>
  <si>
    <t>10/15/2021 10:03:02 AM -04:00</t>
  </si>
  <si>
    <t>10/15/2021 10:27:57 AM -04:00</t>
  </si>
  <si>
    <t>10/15/2021 10:52:53 AM -04:00</t>
  </si>
  <si>
    <t>10/15/2021 11:17:49 AM -04:00</t>
  </si>
  <si>
    <t>10/15/2021 11:42:45 AM -04:00</t>
  </si>
  <si>
    <t>10/15/2021 12:07:40 PM -04:00</t>
  </si>
  <si>
    <t>10/15/2021 12:32:36 PM -04:00</t>
  </si>
  <si>
    <t>10/15/2021 12:57:31 PM -04:00</t>
  </si>
  <si>
    <t>10/15/2021 1:22:27 PM -04:00</t>
  </si>
  <si>
    <t>10/15/2021 1:47:23 PM -04:00</t>
  </si>
  <si>
    <t>10/15/2021 2:12:19 PM -04:00</t>
  </si>
  <si>
    <t>10/15/2021 2:37:15 PM -04:00</t>
  </si>
  <si>
    <t>10/15/2021 3:02:10 PM -04:00</t>
  </si>
  <si>
    <t>10/15/2021 3:27:06 PM -04:00</t>
  </si>
  <si>
    <t>10/15/2021 3:52:02 PM -04:00</t>
  </si>
  <si>
    <t>10/15/2021 4:16:57 PM -04:00</t>
  </si>
  <si>
    <t>10/15/2021 4:41:53 PM -04:00</t>
  </si>
  <si>
    <t>082421 BLK</t>
  </si>
  <si>
    <t>082421 BLK MS</t>
  </si>
  <si>
    <t>082421 BLK MSD</t>
  </si>
  <si>
    <t>082421 RO</t>
  </si>
  <si>
    <t>082421 DCH</t>
  </si>
  <si>
    <t>082421 ERS</t>
  </si>
  <si>
    <t>082421 2.0 HT</t>
  </si>
  <si>
    <t>082421 4.0 HT</t>
  </si>
  <si>
    <t>082421 6.0 HT</t>
  </si>
  <si>
    <t>082421 8.0 HT</t>
  </si>
  <si>
    <t>082421 1.1 TT</t>
  </si>
  <si>
    <t>082421 1.2 TT</t>
  </si>
  <si>
    <t>082421 2.1 TT</t>
  </si>
  <si>
    <t>082421 2.2 TT</t>
  </si>
  <si>
    <t>082421 3.1 TT</t>
  </si>
  <si>
    <t>082421 3.1 TT DUP</t>
  </si>
  <si>
    <t>082421 3.2 TT</t>
  </si>
  <si>
    <t>082421 4.1 TT</t>
  </si>
  <si>
    <t>082421 4.2 TT</t>
  </si>
  <si>
    <t>082421 5.1 TT</t>
  </si>
  <si>
    <t>082421 5.2 TT</t>
  </si>
  <si>
    <t>082421 5.2 TT MS</t>
  </si>
  <si>
    <t>082421 5.2 TT MSD</t>
  </si>
  <si>
    <t>082421 6.1 TT</t>
  </si>
  <si>
    <t>082421 6.2 TT</t>
  </si>
  <si>
    <t>082421 7.1 TT</t>
  </si>
  <si>
    <t>082421 7.2 TT</t>
  </si>
  <si>
    <t>082421 8.1 TT</t>
  </si>
  <si>
    <t>082421 8.1 TT DUP</t>
  </si>
  <si>
    <t>082421 8.2</t>
  </si>
  <si>
    <t>8/6/2021 3:15:59 PM -04:00</t>
  </si>
  <si>
    <t>8/6/2021 3:40:18 PM -04:00</t>
  </si>
  <si>
    <t>8/6/2021 4:05:13 PM -04:00</t>
  </si>
  <si>
    <t>8/6/2021 4:30:09 PM -04:00</t>
  </si>
  <si>
    <t>8/6/2021 4:55:04 PM -04:00</t>
  </si>
  <si>
    <t>8/6/2021 5:20:00 PM -04:00</t>
  </si>
  <si>
    <t>8/6/2021 5:44:55 PM -04:00</t>
  </si>
  <si>
    <t>8/6/2021 6:09:50 PM -04:00</t>
  </si>
  <si>
    <t>8/6/2021 6:34:45 PM -04:00</t>
  </si>
  <si>
    <t>8/6/2021 6:59:42 PM -04:00</t>
  </si>
  <si>
    <t>8/6/2021 7:24:37 PM -04:00</t>
  </si>
  <si>
    <t>8/6/2021 7:49:33 PM -04:00</t>
  </si>
  <si>
    <t>8/6/2021 8:14:28 PM -04:00</t>
  </si>
  <si>
    <t>8/6/2021 8:39:25 PM -04:00</t>
  </si>
  <si>
    <t>8/6/2021 9:04:21 PM -04:00</t>
  </si>
  <si>
    <t>8/6/2021 9:29:17 PM -04:00</t>
  </si>
  <si>
    <t>8/6/2021 9:54:12 PM -04:00</t>
  </si>
  <si>
    <t>8/6/2021 10:19:08 PM -04:00</t>
  </si>
  <si>
    <t>8/6/2021 10:44:03 PM -04:00</t>
  </si>
  <si>
    <t>8/6/2021 11:08:59 PM -04:00</t>
  </si>
  <si>
    <t>8/6/2021 11:33:54 PM -04:00</t>
  </si>
  <si>
    <t>8/6/2021 11:58:49 PM -04:00</t>
  </si>
  <si>
    <t>8/7/2021 12:23:44 AM -04:00</t>
  </si>
  <si>
    <t>8/7/2021 12:48:40 AM -04:00</t>
  </si>
  <si>
    <t>8/7/2021 1:13:36 AM -04:00</t>
  </si>
  <si>
    <t>8/7/2021 1:38:32 AM -04:00</t>
  </si>
  <si>
    <t>8/7/2021 2:03:28 AM -04:00</t>
  </si>
  <si>
    <t>8/7/2021 2:28:24 AM -04:00</t>
  </si>
  <si>
    <t>8/7/2021 2:53:21 AM -04:00</t>
  </si>
  <si>
    <t>8/7/2021 3:18:16 AM -04:00</t>
  </si>
  <si>
    <t>Injection date/time</t>
  </si>
  <si>
    <t>CH4-317-U18-SHALLOW</t>
  </si>
  <si>
    <t>CH4-317-U18-SHALLOW MS</t>
  </si>
  <si>
    <t>CH4-079-U12-SHALLOW</t>
  </si>
  <si>
    <t>CH4-291-U13-SHALLOW-DUP</t>
  </si>
  <si>
    <t>CH4-075-U08-SHALLOW</t>
  </si>
  <si>
    <t>CH4-070-U07-DEEP</t>
  </si>
  <si>
    <t>CH4-075-U08-DEEP</t>
  </si>
  <si>
    <t>CH4-297-U41-DEEP</t>
  </si>
  <si>
    <t>CH4-291-U13-SHALLOW-BLANK</t>
  </si>
  <si>
    <t>CH4-070-U07-SHALLOW</t>
  </si>
  <si>
    <t>CH4-296-U17-SHALLOW</t>
  </si>
  <si>
    <t>CH4-291-U13-DEEP</t>
  </si>
  <si>
    <t>CH4-291-U13-SHALLOW</t>
  </si>
  <si>
    <t>CH4-079-U12-DEEP</t>
  </si>
  <si>
    <t>CH4-317-U18-DEEP</t>
  </si>
  <si>
    <t>CH4-076-U02-DEEP</t>
  </si>
  <si>
    <t>CH4-296-U17-DEEP</t>
  </si>
  <si>
    <t>CH4-076-U02-SHALLOW</t>
  </si>
  <si>
    <t>CH4-072-U09-SHALLOW</t>
  </si>
  <si>
    <t>CH4-072-U09-SHALLOW MS</t>
  </si>
  <si>
    <t>CH4-072-U09-SHALLOW MSD</t>
  </si>
  <si>
    <t>CH4-072-U09-DEEP</t>
  </si>
  <si>
    <t>CH4-067-U04-DEEP</t>
  </si>
  <si>
    <t>CH4-317-U18-SHALLOW 2X</t>
  </si>
  <si>
    <t>CH4-070-U07-DEEP 2X</t>
  </si>
  <si>
    <t>CH4-070-U07-SHALLOW 2X</t>
  </si>
  <si>
    <t>CH4-296-U17-SHALLOW 10X</t>
  </si>
  <si>
    <t>CH4-317-U18-DEEP 2X</t>
  </si>
  <si>
    <t>CH4-076-U02-DEEP 2X</t>
  </si>
  <si>
    <t>CH4-076-U02-SHALLOW 2X</t>
  </si>
  <si>
    <t>CH4-072-U09-SHALLOW 5X</t>
  </si>
  <si>
    <t>CH4-072-U09-DEEP 5X</t>
  </si>
  <si>
    <t>CH4-067-U04-DEEP 20X</t>
  </si>
  <si>
    <t>CH4-317-U18-SHALLOW MSD</t>
  </si>
  <si>
    <t>CH4-297-U41-SHALLOW</t>
  </si>
  <si>
    <t>CH4-067-U04-SHALLOW</t>
  </si>
  <si>
    <t>CH4-067-U04-SHALLOW-DUP</t>
  </si>
  <si>
    <t>CH4-067-U04-SHALLOW 20X</t>
  </si>
  <si>
    <t>CH4-067-U04-SHALLOW-DUP 20X</t>
  </si>
  <si>
    <t>CH4-317-U18-SHALLOW 5X</t>
  </si>
  <si>
    <t>CH4-317-U18-SHALLOW 5X MS</t>
  </si>
  <si>
    <t>CH4-317-U18-SHALLOW 5X MSD</t>
  </si>
  <si>
    <t>CH4-317-U18-DEEP 5X</t>
  </si>
  <si>
    <t>CH4-070-U07-SHALLOW 5X</t>
  </si>
  <si>
    <t>CH4-070-U07-DEEP 5X</t>
  </si>
  <si>
    <t>CH4-067-U04-SHALLOW 100X</t>
  </si>
  <si>
    <t>CH4-067-U04-DEEP 100X</t>
  </si>
  <si>
    <t>CH4-067-U04-SHALLOW-DUP100X</t>
  </si>
  <si>
    <t>CH4-075-U08-SHALLOW 200X</t>
  </si>
  <si>
    <t>1/27/2022 2:29:42 PM -05:00</t>
  </si>
  <si>
    <t>1/27/2022 2:54:01 PM -05:00</t>
  </si>
  <si>
    <t>1/27/2022 3:18:56 PM -05:00</t>
  </si>
  <si>
    <t>1/27/2022 3:43:53 PM -05:00</t>
  </si>
  <si>
    <t>1/27/2022 4:08:49 PM -05:00</t>
  </si>
  <si>
    <t>1/27/2022 4:33:44 PM -05:00</t>
  </si>
  <si>
    <t>1/27/2022 4:58:40 PM -05:00</t>
  </si>
  <si>
    <t>1/27/2022 5:23:35 PM -05:00</t>
  </si>
  <si>
    <t>1/27/2022 5:48:32 PM -05:00</t>
  </si>
  <si>
    <t>1/27/2022 6:13:26 PM -05:00</t>
  </si>
  <si>
    <t>1/27/2022 6:38:21 PM -05:00</t>
  </si>
  <si>
    <t>1/27/2022 7:03:16 PM -05:00</t>
  </si>
  <si>
    <t>1/27/2022 7:28:12 PM -05:00</t>
  </si>
  <si>
    <t>1/27/2022 7:53:08 PM -05:00</t>
  </si>
  <si>
    <t>1/27/2022 8:18:04 PM -05:00</t>
  </si>
  <si>
    <t>1/27/2022 8:42:58 PM -05:00</t>
  </si>
  <si>
    <t>1/27/2022 9:07:54 PM -05:00</t>
  </si>
  <si>
    <t>1/27/2022 9:32:49 PM -05:00</t>
  </si>
  <si>
    <t>1/27/2022 9:57:45 PM -05:00</t>
  </si>
  <si>
    <t>1/27/2022 10:22:41 PM -05:00</t>
  </si>
  <si>
    <t>1/27/2022 10:47:37 PM -05:00</t>
  </si>
  <si>
    <t>1/27/2022 11:12:31 PM -05:00</t>
  </si>
  <si>
    <t>1/27/2022 11:37:26 PM -05:00</t>
  </si>
  <si>
    <t>1/28/2022 12:02:22 AM -05:00</t>
  </si>
  <si>
    <t>1/28/2022 12:27:18 AM -05:00</t>
  </si>
  <si>
    <t>1/28/2022 12:52:14 AM -05:00</t>
  </si>
  <si>
    <t>1/28/2022 1:17:09 AM -05:00</t>
  </si>
  <si>
    <t>1/28/2022 1:42:05 AM -05:00</t>
  </si>
  <si>
    <t>1/28/2022 2:07:00 AM -05:00</t>
  </si>
  <si>
    <t>1/28/2022 2:31:56 AM -05:00</t>
  </si>
  <si>
    <t>1/28/2022 2:56:51 AM -05:00</t>
  </si>
  <si>
    <t>1/28/2022 3:21:47 AM -05:00</t>
  </si>
  <si>
    <t>1/28/2022 3:46:43 AM -05:00</t>
  </si>
  <si>
    <t>1/28/2022 4:11:38 AM -05:00</t>
  </si>
  <si>
    <t>1/28/2022 4:36:34 AM -05:00</t>
  </si>
  <si>
    <t>1/28/2022 5:01:29 AM -05:00</t>
  </si>
  <si>
    <t>1/28/2022 5:26:25 AM -05:00</t>
  </si>
  <si>
    <t>1/28/2022 5:51:20 AM -05:00</t>
  </si>
  <si>
    <t>1/28/2022 6:16:15 AM -05:00</t>
  </si>
  <si>
    <t>1/28/2022 6:41:11 AM -05:00</t>
  </si>
  <si>
    <t>1/28/2022 7:06:07 AM -05:00</t>
  </si>
  <si>
    <t>1/28/2022 7:31:02 AM -05:00</t>
  </si>
  <si>
    <t>1/28/2022 1:11:28 PM -05:00</t>
  </si>
  <si>
    <t>1/28/2022 1:35:47 PM -05:00</t>
  </si>
  <si>
    <t>1/28/2022 2:00:43 PM -05:00</t>
  </si>
  <si>
    <t>1/28/2022 2:25:39 PM -05:00</t>
  </si>
  <si>
    <t>1/28/2022 2:50:34 PM -05:00</t>
  </si>
  <si>
    <t>1/28/2022 3:15:28 PM -05:00</t>
  </si>
  <si>
    <t>1/28/2022 3:40:24 PM -05:00</t>
  </si>
  <si>
    <t>1/28/2022 4:05:19 PM -05:00</t>
  </si>
  <si>
    <t>1/28/2022 4:30:15 PM -05:00</t>
  </si>
  <si>
    <t>1/28/2022 4:55:10 PM -05:00</t>
  </si>
  <si>
    <t>1/28/2022 5:20:06 PM -05:00</t>
  </si>
  <si>
    <t>1/28/2022 5:45:02 PM -05:00</t>
  </si>
  <si>
    <t>1/28/2022 6:09:57 PM -05:00</t>
  </si>
  <si>
    <t>1/28/2022 6:34:52 PM -05:00</t>
  </si>
  <si>
    <t>1/28/2022 6:59:46 PM -05:00</t>
  </si>
  <si>
    <t>1/28/2022 7:24:42 PM -05:00</t>
  </si>
  <si>
    <t>2/25/2022 12:50:57 PM -05:00</t>
  </si>
  <si>
    <t>2/25/2022 1:15:17 PM -05:00</t>
  </si>
  <si>
    <t>2/25/2022 1:40:13 PM -05:00</t>
  </si>
  <si>
    <t>2/25/2022 2:05:08 PM -05:00</t>
  </si>
  <si>
    <t>2/25/2022 2:30:04 PM -05:00</t>
  </si>
  <si>
    <t>2/25/2022 2:55:00 PM -05:00</t>
  </si>
  <si>
    <t>2/25/2022 3:19:56 PM -05:00</t>
  </si>
  <si>
    <t>2/25/2022 3:44:51 PM -05:00</t>
  </si>
  <si>
    <t>2/25/2022 4:09:48 PM -05:00</t>
  </si>
  <si>
    <t>2/25/2022 4:34:44 PM -05:00</t>
  </si>
  <si>
    <t>2/25/2022 4:59:39 PM -05:00</t>
  </si>
  <si>
    <t>2/25/2022 5:24:35 PM -05:00</t>
  </si>
  <si>
    <t>2/25/2022 5:49:31 PM -05:00</t>
  </si>
  <si>
    <t>2/25/2022 6:14:27 PM -05:00</t>
  </si>
  <si>
    <t>500uL thermo std+1mL spl+3.5 DI</t>
  </si>
  <si>
    <t>CH4-075-U08-SHALLOW 50X</t>
  </si>
  <si>
    <t>CH4-075-U08-DEEP 50X</t>
  </si>
  <si>
    <t>Injection Date/Time</t>
  </si>
  <si>
    <t xml:space="preserve"> Full Sample ID</t>
  </si>
  <si>
    <t>sample id</t>
  </si>
  <si>
    <t>site_id</t>
  </si>
  <si>
    <t>CH4-070-U07-DEEP-TRANS</t>
  </si>
  <si>
    <t>CH4-070-U07-SHALLOW-TRANS</t>
  </si>
  <si>
    <t>CH4-070-U07-DEEP-TRANS-2X</t>
  </si>
  <si>
    <t>CH4-070-U07-DEEP-TRANS-5X</t>
  </si>
  <si>
    <t>CH4-070-U07-SHALLOW-TRANS-2X</t>
  </si>
  <si>
    <t>CH4-070-U07-SHALLOW-TRANS-5X</t>
  </si>
  <si>
    <t>CH4-071-U02-DEEP</t>
  </si>
  <si>
    <t>CH4-071-U02-DEEP 2X</t>
  </si>
  <si>
    <t>CH4-071-U02-SHALLOW</t>
  </si>
  <si>
    <t>CH4-071-U02-SHALLOW 2X</t>
  </si>
  <si>
    <t>sample_id</t>
  </si>
  <si>
    <t>dilution</t>
  </si>
  <si>
    <t>injection_date_time</t>
  </si>
  <si>
    <t>analyte</t>
  </si>
  <si>
    <t>value</t>
  </si>
  <si>
    <t>f_mg_l</t>
  </si>
  <si>
    <t>cl_mg_l</t>
  </si>
  <si>
    <t>br_mg_l</t>
  </si>
  <si>
    <t>so4_mg_l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</si>
</sst>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center"/>
    </xf>
    <xf numFmtId="0" fontId="0" fillId="0" borderId="1" xfId="0" applyBorder="1"/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1"/>
  <sheetViews>
    <sheetView workbookViewId="0">
      <selection sqref="A1:IV65536"/>
    </sheetView>
  </sheetViews>
  <sheetFormatPr defaultRowHeight="14.4" x14ac:dyDescent="0.3"/>
  <cols>
    <col min="2" max="2" width="27.33203125" customWidth="1"/>
    <col min="3" max="3" width="15.6640625" customWidth="1"/>
    <col min="4" max="4" width="13.88671875" customWidth="1"/>
    <col min="5" max="5" width="15.44140625" customWidth="1"/>
    <col min="6" max="6" width="14.88671875" customWidth="1"/>
    <col min="7" max="7" width="15" customWidth="1"/>
    <col min="8" max="8" width="16.44140625" customWidth="1"/>
    <col min="9" max="9" width="13.88671875" customWidth="1"/>
    <col min="11" max="11" width="38.44140625" customWidth="1"/>
    <col min="12" max="12" width="26.44140625" customWidth="1"/>
  </cols>
  <sheetData>
    <row r="1" spans="2:12" x14ac:dyDescent="0.3">
      <c r="B1" s="1" t="s">
        <v>0</v>
      </c>
      <c r="C1" s="1" t="s">
        <v>1</v>
      </c>
      <c r="D1" s="1" t="s">
        <v>2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515</v>
      </c>
    </row>
    <row r="2" spans="2:12" x14ac:dyDescent="0.3">
      <c r="B2" t="s">
        <v>23</v>
      </c>
      <c r="C2">
        <v>4.5247000000000002</v>
      </c>
      <c r="D2">
        <v>5.7915999999999999</v>
      </c>
      <c r="E2">
        <v>19.422999999999998</v>
      </c>
      <c r="F2">
        <v>19.821200000000001</v>
      </c>
      <c r="G2">
        <v>19.392900000000001</v>
      </c>
      <c r="H2">
        <v>27.079699999999999</v>
      </c>
      <c r="I2">
        <v>28.107199999999999</v>
      </c>
      <c r="J2">
        <v>1</v>
      </c>
      <c r="K2" t="s">
        <v>136</v>
      </c>
      <c r="L2" t="s">
        <v>505</v>
      </c>
    </row>
    <row r="3" spans="2:12" x14ac:dyDescent="0.3">
      <c r="B3" t="s">
        <v>23</v>
      </c>
      <c r="C3">
        <v>4.0578000000000003</v>
      </c>
      <c r="D3">
        <v>5.4</v>
      </c>
      <c r="E3">
        <v>19.979199999999999</v>
      </c>
      <c r="F3">
        <v>20.076699999999999</v>
      </c>
      <c r="G3">
        <v>19.894300000000001</v>
      </c>
      <c r="H3">
        <v>27.968</v>
      </c>
      <c r="I3">
        <v>28.4238</v>
      </c>
      <c r="J3">
        <v>1</v>
      </c>
      <c r="K3" t="s">
        <v>136</v>
      </c>
      <c r="L3" t="s">
        <v>514</v>
      </c>
    </row>
    <row r="4" spans="2:12" x14ac:dyDescent="0.3">
      <c r="B4" t="s">
        <v>161</v>
      </c>
      <c r="C4">
        <v>0.1739</v>
      </c>
      <c r="D4">
        <v>60.994900000000001</v>
      </c>
      <c r="E4" t="s">
        <v>135</v>
      </c>
      <c r="F4" t="s">
        <v>135</v>
      </c>
      <c r="G4" t="s">
        <v>135</v>
      </c>
      <c r="H4">
        <v>3.9011</v>
      </c>
      <c r="I4">
        <v>365.13029999999998</v>
      </c>
      <c r="J4">
        <v>1</v>
      </c>
      <c r="L4" t="s">
        <v>513</v>
      </c>
    </row>
    <row r="5" spans="2:12" x14ac:dyDescent="0.3">
      <c r="B5" t="s">
        <v>160</v>
      </c>
      <c r="C5">
        <v>0.16470000000000001</v>
      </c>
      <c r="D5">
        <v>61.204799999999999</v>
      </c>
      <c r="E5" t="s">
        <v>135</v>
      </c>
      <c r="F5" t="s">
        <v>135</v>
      </c>
      <c r="G5" t="s">
        <v>135</v>
      </c>
      <c r="H5">
        <v>3.7475999999999998</v>
      </c>
      <c r="I5">
        <v>369.4171</v>
      </c>
      <c r="J5">
        <v>1</v>
      </c>
      <c r="L5" t="s">
        <v>512</v>
      </c>
    </row>
    <row r="6" spans="2:12" x14ac:dyDescent="0.3">
      <c r="B6" t="s">
        <v>147</v>
      </c>
      <c r="C6">
        <v>0.1898</v>
      </c>
      <c r="D6" t="s">
        <v>135</v>
      </c>
      <c r="E6" t="s">
        <v>135</v>
      </c>
      <c r="F6" t="s">
        <v>135</v>
      </c>
      <c r="G6" t="s">
        <v>135</v>
      </c>
      <c r="H6" t="s">
        <v>135</v>
      </c>
      <c r="I6">
        <v>38.611199999999997</v>
      </c>
      <c r="J6">
        <v>1</v>
      </c>
      <c r="L6" t="s">
        <v>498</v>
      </c>
    </row>
    <row r="7" spans="2:12" x14ac:dyDescent="0.3">
      <c r="B7" t="s">
        <v>144</v>
      </c>
      <c r="C7">
        <v>0.22819999999999999</v>
      </c>
      <c r="D7" t="s">
        <v>135</v>
      </c>
      <c r="E7" t="s">
        <v>135</v>
      </c>
      <c r="F7" t="s">
        <v>135</v>
      </c>
      <c r="G7" t="s">
        <v>135</v>
      </c>
      <c r="H7" t="s">
        <v>135</v>
      </c>
      <c r="I7">
        <v>40.835299999999997</v>
      </c>
      <c r="J7">
        <v>1</v>
      </c>
      <c r="L7" t="s">
        <v>495</v>
      </c>
    </row>
    <row r="8" spans="2:12" x14ac:dyDescent="0.3">
      <c r="B8" t="s">
        <v>149</v>
      </c>
      <c r="C8" t="s">
        <v>135</v>
      </c>
      <c r="D8">
        <v>9.7600000000000006E-2</v>
      </c>
      <c r="E8" t="s">
        <v>135</v>
      </c>
      <c r="F8" t="s">
        <v>135</v>
      </c>
      <c r="G8" t="s">
        <v>135</v>
      </c>
      <c r="H8" t="s">
        <v>135</v>
      </c>
      <c r="I8" t="s">
        <v>135</v>
      </c>
      <c r="J8">
        <v>1</v>
      </c>
      <c r="L8" t="s">
        <v>500</v>
      </c>
    </row>
    <row r="9" spans="2:12" x14ac:dyDescent="0.3">
      <c r="B9" t="s">
        <v>148</v>
      </c>
      <c r="C9">
        <v>0.2324</v>
      </c>
      <c r="D9" t="s">
        <v>135</v>
      </c>
      <c r="E9" t="s">
        <v>135</v>
      </c>
      <c r="F9" t="s">
        <v>135</v>
      </c>
      <c r="G9" t="s">
        <v>135</v>
      </c>
      <c r="H9" t="s">
        <v>135</v>
      </c>
      <c r="I9">
        <v>40.573799999999999</v>
      </c>
      <c r="J9">
        <v>1</v>
      </c>
      <c r="L9" t="s">
        <v>499</v>
      </c>
    </row>
    <row r="10" spans="2:12" x14ac:dyDescent="0.3">
      <c r="B10" t="s">
        <v>145</v>
      </c>
      <c r="C10">
        <v>2.1436000000000002</v>
      </c>
      <c r="D10" t="s">
        <v>135</v>
      </c>
      <c r="E10">
        <v>9.6690000000000005</v>
      </c>
      <c r="F10">
        <v>9.9392999999999994</v>
      </c>
      <c r="G10">
        <v>9.5017999999999994</v>
      </c>
      <c r="H10">
        <v>13.011200000000001</v>
      </c>
      <c r="I10">
        <v>53.058500000000002</v>
      </c>
      <c r="J10">
        <v>1</v>
      </c>
      <c r="K10" t="s">
        <v>162</v>
      </c>
      <c r="L10" t="s">
        <v>496</v>
      </c>
    </row>
    <row r="11" spans="2:12" x14ac:dyDescent="0.3">
      <c r="B11" t="s">
        <v>146</v>
      </c>
      <c r="C11">
        <v>2.1873</v>
      </c>
      <c r="D11" t="s">
        <v>135</v>
      </c>
      <c r="E11">
        <v>9.7309000000000001</v>
      </c>
      <c r="F11">
        <v>9.9610000000000003</v>
      </c>
      <c r="G11">
        <v>9.5762999999999998</v>
      </c>
      <c r="H11">
        <v>13.0327</v>
      </c>
      <c r="I11">
        <v>53.380400000000002</v>
      </c>
      <c r="J11">
        <v>1</v>
      </c>
      <c r="K11" t="s">
        <v>162</v>
      </c>
      <c r="L11" t="s">
        <v>497</v>
      </c>
    </row>
    <row r="12" spans="2:12" x14ac:dyDescent="0.3">
      <c r="B12" t="s">
        <v>153</v>
      </c>
      <c r="C12">
        <v>0.26190000000000002</v>
      </c>
      <c r="D12">
        <v>5.9269999999999996</v>
      </c>
      <c r="E12" t="s">
        <v>135</v>
      </c>
      <c r="F12" t="s">
        <v>135</v>
      </c>
      <c r="G12" t="s">
        <v>135</v>
      </c>
      <c r="H12" t="s">
        <v>135</v>
      </c>
      <c r="I12">
        <v>5.3146000000000004</v>
      </c>
      <c r="J12">
        <v>1</v>
      </c>
      <c r="L12" t="s">
        <v>504</v>
      </c>
    </row>
    <row r="13" spans="2:12" x14ac:dyDescent="0.3">
      <c r="B13" t="s">
        <v>152</v>
      </c>
      <c r="C13">
        <v>0.25169999999999998</v>
      </c>
      <c r="D13">
        <v>6.0075000000000003</v>
      </c>
      <c r="E13" t="s">
        <v>135</v>
      </c>
      <c r="F13" t="s">
        <v>135</v>
      </c>
      <c r="G13" t="s">
        <v>135</v>
      </c>
      <c r="H13" t="s">
        <v>135</v>
      </c>
      <c r="I13">
        <v>6.8045</v>
      </c>
      <c r="J13">
        <v>1</v>
      </c>
      <c r="L13" t="s">
        <v>503</v>
      </c>
    </row>
    <row r="14" spans="2:12" x14ac:dyDescent="0.3">
      <c r="B14" t="s">
        <v>155</v>
      </c>
      <c r="C14" t="s">
        <v>135</v>
      </c>
      <c r="D14" t="s">
        <v>135</v>
      </c>
      <c r="E14" t="s">
        <v>135</v>
      </c>
      <c r="F14" t="s">
        <v>135</v>
      </c>
      <c r="G14" t="s">
        <v>135</v>
      </c>
      <c r="H14" t="s">
        <v>135</v>
      </c>
      <c r="I14" t="s">
        <v>135</v>
      </c>
      <c r="J14">
        <v>1</v>
      </c>
      <c r="L14" t="s">
        <v>507</v>
      </c>
    </row>
    <row r="15" spans="2:12" x14ac:dyDescent="0.3">
      <c r="B15" t="s">
        <v>154</v>
      </c>
      <c r="C15">
        <v>0.26590000000000003</v>
      </c>
      <c r="D15">
        <v>6.0083000000000002</v>
      </c>
      <c r="E15" t="s">
        <v>135</v>
      </c>
      <c r="F15" t="s">
        <v>135</v>
      </c>
      <c r="G15" t="s">
        <v>135</v>
      </c>
      <c r="H15" t="s">
        <v>135</v>
      </c>
      <c r="I15">
        <v>6.7253999999999996</v>
      </c>
      <c r="J15">
        <v>1</v>
      </c>
      <c r="L15" t="s">
        <v>506</v>
      </c>
    </row>
    <row r="16" spans="2:12" x14ac:dyDescent="0.3">
      <c r="B16" t="s">
        <v>151</v>
      </c>
      <c r="C16">
        <v>1.5268999999999999</v>
      </c>
      <c r="D16">
        <v>63.869399999999999</v>
      </c>
      <c r="E16" t="s">
        <v>135</v>
      </c>
      <c r="F16" t="s">
        <v>135</v>
      </c>
      <c r="G16" t="s">
        <v>135</v>
      </c>
      <c r="H16" t="s">
        <v>135</v>
      </c>
      <c r="I16">
        <v>445.81389999999999</v>
      </c>
      <c r="J16">
        <v>1</v>
      </c>
      <c r="L16" t="s">
        <v>502</v>
      </c>
    </row>
    <row r="17" spans="2:12" x14ac:dyDescent="0.3">
      <c r="B17" t="s">
        <v>150</v>
      </c>
      <c r="C17">
        <v>1.4664999999999999</v>
      </c>
      <c r="D17">
        <v>69.314499999999995</v>
      </c>
      <c r="E17" t="s">
        <v>135</v>
      </c>
      <c r="F17" t="s">
        <v>135</v>
      </c>
      <c r="G17" t="s">
        <v>135</v>
      </c>
      <c r="H17" t="s">
        <v>135</v>
      </c>
      <c r="I17">
        <v>429.07119999999998</v>
      </c>
      <c r="J17">
        <v>1</v>
      </c>
      <c r="L17" t="s">
        <v>501</v>
      </c>
    </row>
    <row r="18" spans="2:12" x14ac:dyDescent="0.3">
      <c r="B18" t="s">
        <v>157</v>
      </c>
      <c r="C18">
        <v>0.13469999999999999</v>
      </c>
      <c r="D18">
        <v>17.8385</v>
      </c>
      <c r="E18" t="s">
        <v>135</v>
      </c>
      <c r="F18" t="s">
        <v>135</v>
      </c>
      <c r="G18" t="s">
        <v>135</v>
      </c>
      <c r="H18" t="s">
        <v>135</v>
      </c>
      <c r="I18">
        <v>18.1341</v>
      </c>
      <c r="J18">
        <v>1</v>
      </c>
      <c r="L18" t="s">
        <v>509</v>
      </c>
    </row>
    <row r="19" spans="2:12" x14ac:dyDescent="0.3">
      <c r="B19" t="s">
        <v>156</v>
      </c>
      <c r="C19">
        <v>0.13600000000000001</v>
      </c>
      <c r="D19">
        <v>18.101400000000002</v>
      </c>
      <c r="E19" t="s">
        <v>135</v>
      </c>
      <c r="F19" t="s">
        <v>135</v>
      </c>
      <c r="G19" t="s">
        <v>135</v>
      </c>
      <c r="H19" t="s">
        <v>135</v>
      </c>
      <c r="I19">
        <v>18.426400000000001</v>
      </c>
      <c r="J19">
        <v>1</v>
      </c>
      <c r="L19" t="s">
        <v>508</v>
      </c>
    </row>
    <row r="20" spans="2:12" x14ac:dyDescent="0.3">
      <c r="B20" t="s">
        <v>159</v>
      </c>
      <c r="C20">
        <v>1.4012</v>
      </c>
      <c r="D20">
        <v>20.959099999999999</v>
      </c>
      <c r="E20" t="s">
        <v>135</v>
      </c>
      <c r="F20" t="s">
        <v>135</v>
      </c>
      <c r="G20" t="s">
        <v>135</v>
      </c>
      <c r="H20" t="s">
        <v>135</v>
      </c>
      <c r="I20">
        <v>77.082800000000006</v>
      </c>
      <c r="J20">
        <v>1</v>
      </c>
      <c r="L20" t="s">
        <v>511</v>
      </c>
    </row>
    <row r="21" spans="2:12" x14ac:dyDescent="0.3">
      <c r="B21" t="s">
        <v>158</v>
      </c>
      <c r="C21">
        <v>1.3178000000000001</v>
      </c>
      <c r="D21">
        <v>21.758299999999998</v>
      </c>
      <c r="E21" t="s">
        <v>135</v>
      </c>
      <c r="F21" t="s">
        <v>135</v>
      </c>
      <c r="G21" t="s">
        <v>135</v>
      </c>
      <c r="H21" t="s">
        <v>135</v>
      </c>
      <c r="I21">
        <v>79.782399999999996</v>
      </c>
      <c r="J21">
        <v>1</v>
      </c>
      <c r="L21" t="s">
        <v>510</v>
      </c>
    </row>
    <row r="22" spans="2:12" x14ac:dyDescent="0.3">
      <c r="B22" t="s">
        <v>10</v>
      </c>
      <c r="C22" t="s">
        <v>135</v>
      </c>
      <c r="D22" t="s">
        <v>135</v>
      </c>
      <c r="E22" t="s">
        <v>135</v>
      </c>
      <c r="F22" t="s">
        <v>135</v>
      </c>
      <c r="G22" t="s">
        <v>135</v>
      </c>
      <c r="H22" t="s">
        <v>135</v>
      </c>
      <c r="I22" t="s">
        <v>135</v>
      </c>
      <c r="J22">
        <v>1</v>
      </c>
      <c r="L22" t="s">
        <v>492</v>
      </c>
    </row>
    <row r="23" spans="2:12" x14ac:dyDescent="0.3">
      <c r="B23" t="s">
        <v>3</v>
      </c>
      <c r="C23" t="s">
        <v>135</v>
      </c>
      <c r="D23" t="s">
        <v>135</v>
      </c>
      <c r="E23" t="s">
        <v>135</v>
      </c>
      <c r="F23" t="s">
        <v>135</v>
      </c>
      <c r="G23" t="s">
        <v>135</v>
      </c>
      <c r="H23" t="s">
        <v>135</v>
      </c>
      <c r="I23" t="s">
        <v>135</v>
      </c>
      <c r="J23">
        <v>1</v>
      </c>
      <c r="L23" t="s">
        <v>485</v>
      </c>
    </row>
    <row r="24" spans="2:12" x14ac:dyDescent="0.3">
      <c r="B24" t="s">
        <v>11</v>
      </c>
      <c r="C24">
        <v>4.5389999999999997</v>
      </c>
      <c r="D24">
        <v>6.0525000000000002</v>
      </c>
      <c r="E24">
        <v>20.851600000000001</v>
      </c>
      <c r="F24">
        <v>21.804099999999998</v>
      </c>
      <c r="G24">
        <v>21.739899999999999</v>
      </c>
      <c r="H24">
        <v>32.612200000000001</v>
      </c>
      <c r="I24">
        <v>32.796799999999998</v>
      </c>
      <c r="J24">
        <v>1</v>
      </c>
      <c r="K24" t="s">
        <v>136</v>
      </c>
      <c r="L24" t="s">
        <v>493</v>
      </c>
    </row>
    <row r="25" spans="2:12" x14ac:dyDescent="0.3">
      <c r="B25" t="s">
        <v>12</v>
      </c>
      <c r="C25">
        <v>1.9064000000000001</v>
      </c>
      <c r="D25">
        <v>2.5910000000000002</v>
      </c>
      <c r="E25">
        <v>9.9774999999999991</v>
      </c>
      <c r="F25">
        <v>9.7826000000000004</v>
      </c>
      <c r="G25">
        <v>9.6354000000000006</v>
      </c>
      <c r="H25">
        <v>13.269</v>
      </c>
      <c r="I25">
        <v>13.238300000000001</v>
      </c>
      <c r="J25">
        <v>1</v>
      </c>
      <c r="K25" t="s">
        <v>137</v>
      </c>
      <c r="L25" t="s">
        <v>494</v>
      </c>
    </row>
    <row r="26" spans="2:12" x14ac:dyDescent="0.3">
      <c r="B26" t="s">
        <v>4</v>
      </c>
      <c r="C26">
        <v>0.43940000000000001</v>
      </c>
      <c r="D26">
        <v>0.4597</v>
      </c>
      <c r="E26">
        <v>0.43530000000000002</v>
      </c>
      <c r="F26">
        <v>0.46379999999999999</v>
      </c>
      <c r="G26">
        <v>0.43730000000000002</v>
      </c>
      <c r="H26">
        <v>0.42130000000000001</v>
      </c>
      <c r="I26">
        <v>0.42299999999999999</v>
      </c>
      <c r="J26">
        <v>1</v>
      </c>
      <c r="L26" t="s">
        <v>486</v>
      </c>
    </row>
    <row r="27" spans="2:12" x14ac:dyDescent="0.3">
      <c r="B27" t="s">
        <v>5</v>
      </c>
      <c r="C27">
        <v>2.4565999999999999</v>
      </c>
      <c r="D27">
        <v>2.1886000000000001</v>
      </c>
      <c r="E27">
        <v>2.4538000000000002</v>
      </c>
      <c r="F27">
        <v>2.3791000000000002</v>
      </c>
      <c r="G27">
        <v>2.3239999999999998</v>
      </c>
      <c r="H27">
        <v>2.0815000000000001</v>
      </c>
      <c r="I27">
        <v>2.04</v>
      </c>
      <c r="J27">
        <v>1</v>
      </c>
      <c r="L27" t="s">
        <v>487</v>
      </c>
    </row>
    <row r="28" spans="2:12" x14ac:dyDescent="0.3">
      <c r="B28" t="s">
        <v>6</v>
      </c>
      <c r="C28">
        <v>5.1090999999999998</v>
      </c>
      <c r="D28">
        <v>4.3836000000000004</v>
      </c>
      <c r="E28">
        <v>4.9652000000000003</v>
      </c>
      <c r="F28">
        <v>4.782</v>
      </c>
      <c r="G28">
        <v>4.7683999999999997</v>
      </c>
      <c r="H28">
        <v>4.3201000000000001</v>
      </c>
      <c r="I28">
        <v>4.1506999999999996</v>
      </c>
      <c r="J28">
        <v>1</v>
      </c>
      <c r="L28" t="s">
        <v>488</v>
      </c>
    </row>
    <row r="29" spans="2:12" x14ac:dyDescent="0.3">
      <c r="B29" t="s">
        <v>7</v>
      </c>
      <c r="C29">
        <v>10.7361</v>
      </c>
      <c r="D29">
        <v>9.3423999999999996</v>
      </c>
      <c r="E29">
        <v>10.0427</v>
      </c>
      <c r="F29">
        <v>9.7683</v>
      </c>
      <c r="G29">
        <v>9.7677999999999994</v>
      </c>
      <c r="H29">
        <v>8.7491000000000003</v>
      </c>
      <c r="I29">
        <v>8.5731999999999999</v>
      </c>
      <c r="J29">
        <v>1</v>
      </c>
      <c r="L29" t="s">
        <v>489</v>
      </c>
    </row>
    <row r="30" spans="2:12" x14ac:dyDescent="0.3">
      <c r="B30" t="s">
        <v>8</v>
      </c>
      <c r="C30">
        <v>26.116800000000001</v>
      </c>
      <c r="D30">
        <v>25.563099999999999</v>
      </c>
      <c r="E30">
        <v>24.9954</v>
      </c>
      <c r="F30">
        <v>25.2117</v>
      </c>
      <c r="G30">
        <v>25.225000000000001</v>
      </c>
      <c r="H30">
        <v>23.301200000000001</v>
      </c>
      <c r="I30">
        <v>23.188099999999999</v>
      </c>
      <c r="J30">
        <v>1</v>
      </c>
      <c r="L30" t="s">
        <v>490</v>
      </c>
    </row>
    <row r="31" spans="2:12" x14ac:dyDescent="0.3">
      <c r="B31" t="s">
        <v>9</v>
      </c>
      <c r="C31">
        <v>49.238500000000002</v>
      </c>
      <c r="D31">
        <v>49.902799999999999</v>
      </c>
      <c r="E31">
        <v>45.725299999999997</v>
      </c>
      <c r="F31">
        <v>49.965400000000002</v>
      </c>
      <c r="G31">
        <v>49.962699999999998</v>
      </c>
      <c r="H31">
        <v>51.064700000000002</v>
      </c>
      <c r="I31">
        <v>51.148499999999999</v>
      </c>
      <c r="J31">
        <v>1</v>
      </c>
      <c r="L31" t="s">
        <v>491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253"/>
  <sheetViews>
    <sheetView workbookViewId="0">
      <pane ySplit="1" topLeftCell="A2" activePane="bottomLeft" state="frozen"/>
      <selection pane="bottomLeft" sqref="A1:IV65536"/>
    </sheetView>
  </sheetViews>
  <sheetFormatPr defaultRowHeight="14.4" x14ac:dyDescent="0.3"/>
  <cols>
    <col min="2" max="2" width="34.6640625" customWidth="1"/>
    <col min="5" max="5" width="11.109375" bestFit="1" customWidth="1"/>
    <col min="6" max="6" width="13.44140625" customWidth="1"/>
    <col min="7" max="8" width="12.109375" customWidth="1"/>
    <col min="9" max="9" width="11.5546875" customWidth="1"/>
    <col min="11" max="11" width="19.109375" customWidth="1"/>
    <col min="12" max="12" width="35.88671875" customWidth="1"/>
  </cols>
  <sheetData>
    <row r="1" spans="2:12" x14ac:dyDescent="0.3">
      <c r="B1" s="1" t="s">
        <v>0</v>
      </c>
      <c r="C1" s="1" t="s">
        <v>1</v>
      </c>
      <c r="D1" s="1" t="s">
        <v>2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</row>
    <row r="2" spans="2:12" x14ac:dyDescent="0.3">
      <c r="B2" t="s">
        <v>110</v>
      </c>
      <c r="C2">
        <v>0.19819999999999999</v>
      </c>
      <c r="D2">
        <v>30.3079</v>
      </c>
      <c r="E2" t="s">
        <v>135</v>
      </c>
      <c r="F2" t="s">
        <v>135</v>
      </c>
      <c r="G2">
        <v>11.3736</v>
      </c>
      <c r="H2">
        <v>1.4414</v>
      </c>
      <c r="I2">
        <v>19.913799999999998</v>
      </c>
      <c r="J2">
        <v>1</v>
      </c>
      <c r="L2" t="s">
        <v>339</v>
      </c>
    </row>
    <row r="3" spans="2:12" x14ac:dyDescent="0.3">
      <c r="B3" t="s">
        <v>111</v>
      </c>
      <c r="C3">
        <v>9.4399999999999998E-2</v>
      </c>
      <c r="D3">
        <v>12.4636</v>
      </c>
      <c r="E3" t="s">
        <v>135</v>
      </c>
      <c r="F3" t="s">
        <v>135</v>
      </c>
      <c r="G3">
        <v>1.2461</v>
      </c>
      <c r="H3">
        <v>0.20549999999999999</v>
      </c>
      <c r="I3">
        <v>7.1878000000000002</v>
      </c>
      <c r="J3">
        <v>1</v>
      </c>
      <c r="L3" t="s">
        <v>340</v>
      </c>
    </row>
    <row r="4" spans="2:12" x14ac:dyDescent="0.3">
      <c r="B4" t="s">
        <v>104</v>
      </c>
      <c r="C4">
        <v>0.14480000000000001</v>
      </c>
      <c r="D4">
        <v>20.2178</v>
      </c>
      <c r="E4" t="s">
        <v>135</v>
      </c>
      <c r="F4" t="s">
        <v>135</v>
      </c>
      <c r="G4">
        <v>7.3254000000000001</v>
      </c>
      <c r="H4">
        <v>0.77239999999999998</v>
      </c>
      <c r="I4">
        <v>11.9475</v>
      </c>
      <c r="J4">
        <v>1</v>
      </c>
      <c r="L4" t="s">
        <v>330</v>
      </c>
    </row>
    <row r="5" spans="2:12" x14ac:dyDescent="0.3">
      <c r="B5" t="s">
        <v>112</v>
      </c>
      <c r="C5">
        <v>0.21290000000000001</v>
      </c>
      <c r="D5">
        <v>31.0806</v>
      </c>
      <c r="E5" t="s">
        <v>135</v>
      </c>
      <c r="F5" t="s">
        <v>135</v>
      </c>
      <c r="G5">
        <v>10.802199999999999</v>
      </c>
      <c r="H5">
        <v>1.3178000000000001</v>
      </c>
      <c r="I5">
        <v>20.549199999999999</v>
      </c>
      <c r="J5">
        <v>1</v>
      </c>
      <c r="L5" t="s">
        <v>341</v>
      </c>
    </row>
    <row r="6" spans="2:12" x14ac:dyDescent="0.3">
      <c r="B6" t="s">
        <v>113</v>
      </c>
      <c r="C6">
        <v>0.128</v>
      </c>
      <c r="D6">
        <v>16.960899999999999</v>
      </c>
      <c r="E6" t="s">
        <v>135</v>
      </c>
      <c r="F6" t="s">
        <v>135</v>
      </c>
      <c r="G6">
        <v>2.0745</v>
      </c>
      <c r="H6">
        <v>0.2903</v>
      </c>
      <c r="I6">
        <v>9.9255999999999993</v>
      </c>
      <c r="J6">
        <v>1</v>
      </c>
      <c r="L6" t="s">
        <v>342</v>
      </c>
    </row>
    <row r="7" spans="2:12" x14ac:dyDescent="0.3">
      <c r="B7" t="s">
        <v>114</v>
      </c>
      <c r="C7">
        <v>9.9000000000000005E-2</v>
      </c>
      <c r="D7">
        <v>13.6531</v>
      </c>
      <c r="E7" t="s">
        <v>135</v>
      </c>
      <c r="F7" t="s">
        <v>135</v>
      </c>
      <c r="G7">
        <v>1.5427999999999999</v>
      </c>
      <c r="H7">
        <v>0.2545</v>
      </c>
      <c r="I7">
        <v>7.8617999999999997</v>
      </c>
      <c r="J7">
        <v>1</v>
      </c>
      <c r="L7" t="s">
        <v>343</v>
      </c>
    </row>
    <row r="8" spans="2:12" x14ac:dyDescent="0.3">
      <c r="B8" t="s">
        <v>115</v>
      </c>
      <c r="C8">
        <v>9.8799999999999999E-2</v>
      </c>
      <c r="D8">
        <v>13.5442</v>
      </c>
      <c r="E8" t="s">
        <v>135</v>
      </c>
      <c r="F8" t="s">
        <v>135</v>
      </c>
      <c r="G8">
        <v>1.4971000000000001</v>
      </c>
      <c r="H8">
        <v>0.26869999999999999</v>
      </c>
      <c r="I8">
        <v>7.8666999999999998</v>
      </c>
      <c r="J8">
        <v>1</v>
      </c>
      <c r="L8" t="s">
        <v>344</v>
      </c>
    </row>
    <row r="9" spans="2:12" x14ac:dyDescent="0.3">
      <c r="B9" t="s">
        <v>116</v>
      </c>
      <c r="C9">
        <v>0.19170000000000001</v>
      </c>
      <c r="D9">
        <v>28.785799999999998</v>
      </c>
      <c r="E9" t="s">
        <v>135</v>
      </c>
      <c r="F9" t="s">
        <v>135</v>
      </c>
      <c r="G9">
        <v>9.8473000000000006</v>
      </c>
      <c r="H9">
        <v>1.2505999999999999</v>
      </c>
      <c r="I9">
        <v>18.607399999999998</v>
      </c>
      <c r="J9">
        <v>1</v>
      </c>
      <c r="L9" t="s">
        <v>345</v>
      </c>
    </row>
    <row r="10" spans="2:12" x14ac:dyDescent="0.3">
      <c r="B10" t="s">
        <v>105</v>
      </c>
      <c r="C10">
        <v>0.1186</v>
      </c>
      <c r="D10">
        <v>14.7887</v>
      </c>
      <c r="E10" t="s">
        <v>135</v>
      </c>
      <c r="F10" t="s">
        <v>135</v>
      </c>
      <c r="G10">
        <v>4.1622000000000003</v>
      </c>
      <c r="H10">
        <v>0.5383</v>
      </c>
      <c r="I10">
        <v>8.6570999999999998</v>
      </c>
      <c r="J10">
        <v>1</v>
      </c>
      <c r="L10" t="s">
        <v>331</v>
      </c>
    </row>
    <row r="11" spans="2:12" x14ac:dyDescent="0.3">
      <c r="B11" t="s">
        <v>117</v>
      </c>
      <c r="C11">
        <v>9.6699999999999994E-2</v>
      </c>
      <c r="D11">
        <v>13.097</v>
      </c>
      <c r="E11" t="s">
        <v>135</v>
      </c>
      <c r="F11" t="s">
        <v>135</v>
      </c>
      <c r="G11">
        <v>1.8731</v>
      </c>
      <c r="H11">
        <v>0.24970000000000001</v>
      </c>
      <c r="I11">
        <v>7.6211000000000002</v>
      </c>
      <c r="J11">
        <v>1</v>
      </c>
      <c r="L11" t="s">
        <v>347</v>
      </c>
    </row>
    <row r="12" spans="2:12" x14ac:dyDescent="0.3">
      <c r="B12" t="s">
        <v>118</v>
      </c>
      <c r="C12">
        <v>0.20100000000000001</v>
      </c>
      <c r="D12">
        <v>31.794</v>
      </c>
      <c r="E12" t="s">
        <v>135</v>
      </c>
      <c r="F12" t="s">
        <v>135</v>
      </c>
      <c r="G12">
        <v>11.0571</v>
      </c>
      <c r="H12">
        <v>1.4763999999999999</v>
      </c>
      <c r="I12">
        <v>21.452999999999999</v>
      </c>
      <c r="J12">
        <v>1</v>
      </c>
      <c r="L12" t="s">
        <v>348</v>
      </c>
    </row>
    <row r="13" spans="2:12" x14ac:dyDescent="0.3">
      <c r="B13" t="s">
        <v>119</v>
      </c>
      <c r="C13">
        <v>0.1888</v>
      </c>
      <c r="D13">
        <v>27.5868</v>
      </c>
      <c r="E13" t="s">
        <v>135</v>
      </c>
      <c r="F13" t="s">
        <v>135</v>
      </c>
      <c r="G13">
        <v>8.1664999999999992</v>
      </c>
      <c r="H13">
        <v>1.0113000000000001</v>
      </c>
      <c r="I13">
        <v>17.459299999999999</v>
      </c>
      <c r="J13">
        <v>1</v>
      </c>
      <c r="L13" t="s">
        <v>349</v>
      </c>
    </row>
    <row r="14" spans="2:12" x14ac:dyDescent="0.3">
      <c r="B14" t="s">
        <v>120</v>
      </c>
      <c r="C14">
        <v>0.17780000000000001</v>
      </c>
      <c r="D14">
        <v>26.970700000000001</v>
      </c>
      <c r="E14" t="s">
        <v>135</v>
      </c>
      <c r="F14" t="s">
        <v>135</v>
      </c>
      <c r="G14">
        <v>7.5547000000000004</v>
      </c>
      <c r="H14">
        <v>0.9919</v>
      </c>
      <c r="I14">
        <v>17.0002</v>
      </c>
      <c r="J14">
        <v>1</v>
      </c>
      <c r="L14" t="s">
        <v>350</v>
      </c>
    </row>
    <row r="15" spans="2:12" x14ac:dyDescent="0.3">
      <c r="B15" t="s">
        <v>106</v>
      </c>
      <c r="C15">
        <v>0.1152</v>
      </c>
      <c r="D15">
        <v>15.6327</v>
      </c>
      <c r="E15" t="s">
        <v>135</v>
      </c>
      <c r="F15" t="s">
        <v>135</v>
      </c>
      <c r="G15">
        <v>4.7539999999999996</v>
      </c>
      <c r="H15">
        <v>0.50619999999999998</v>
      </c>
      <c r="I15">
        <v>9.1722999999999999</v>
      </c>
      <c r="J15">
        <v>1</v>
      </c>
      <c r="L15" t="s">
        <v>332</v>
      </c>
    </row>
    <row r="16" spans="2:12" x14ac:dyDescent="0.3">
      <c r="B16" t="s">
        <v>121</v>
      </c>
      <c r="C16">
        <v>0.10730000000000001</v>
      </c>
      <c r="D16">
        <v>13.4451</v>
      </c>
      <c r="E16" t="s">
        <v>135</v>
      </c>
      <c r="F16" t="s">
        <v>135</v>
      </c>
      <c r="G16">
        <v>1.5148999999999999</v>
      </c>
      <c r="H16">
        <v>0.1482</v>
      </c>
      <c r="I16">
        <v>7.8327</v>
      </c>
      <c r="J16">
        <v>1</v>
      </c>
      <c r="L16" t="s">
        <v>351</v>
      </c>
    </row>
    <row r="17" spans="2:12" x14ac:dyDescent="0.3">
      <c r="B17" t="s">
        <v>122</v>
      </c>
      <c r="C17">
        <v>0.23569999999999999</v>
      </c>
      <c r="D17">
        <v>34.901000000000003</v>
      </c>
      <c r="E17" t="s">
        <v>135</v>
      </c>
      <c r="F17" t="s">
        <v>135</v>
      </c>
      <c r="G17">
        <v>14.18</v>
      </c>
      <c r="H17">
        <v>1.7169000000000001</v>
      </c>
      <c r="I17">
        <v>24.9498</v>
      </c>
      <c r="J17">
        <v>1</v>
      </c>
      <c r="L17" t="s">
        <v>352</v>
      </c>
    </row>
    <row r="18" spans="2:12" x14ac:dyDescent="0.3">
      <c r="B18" t="s">
        <v>123</v>
      </c>
      <c r="C18">
        <v>0.1046</v>
      </c>
      <c r="D18">
        <v>13.0663</v>
      </c>
      <c r="E18" t="s">
        <v>135</v>
      </c>
      <c r="F18" t="s">
        <v>135</v>
      </c>
      <c r="G18">
        <v>1.2963</v>
      </c>
      <c r="H18">
        <v>0.17760000000000001</v>
      </c>
      <c r="I18">
        <v>7.5437000000000003</v>
      </c>
      <c r="J18">
        <v>1</v>
      </c>
      <c r="L18" t="s">
        <v>353</v>
      </c>
    </row>
    <row r="19" spans="2:12" x14ac:dyDescent="0.3">
      <c r="B19" t="s">
        <v>124</v>
      </c>
      <c r="C19">
        <v>0.1016</v>
      </c>
      <c r="D19">
        <v>12.959300000000001</v>
      </c>
      <c r="E19" t="s">
        <v>135</v>
      </c>
      <c r="F19" t="s">
        <v>135</v>
      </c>
      <c r="G19">
        <v>0.68859999999999999</v>
      </c>
      <c r="H19">
        <v>7.4999999999999997E-2</v>
      </c>
      <c r="I19">
        <v>7.0823</v>
      </c>
      <c r="J19">
        <v>1</v>
      </c>
      <c r="L19" t="s">
        <v>354</v>
      </c>
    </row>
    <row r="20" spans="2:12" x14ac:dyDescent="0.3">
      <c r="B20" t="s">
        <v>107</v>
      </c>
      <c r="C20">
        <v>0.11899999999999999</v>
      </c>
      <c r="D20">
        <v>16.072500000000002</v>
      </c>
      <c r="E20" t="s">
        <v>135</v>
      </c>
      <c r="F20" t="s">
        <v>135</v>
      </c>
      <c r="G20">
        <v>4.7000999999999999</v>
      </c>
      <c r="H20">
        <v>0.6048</v>
      </c>
      <c r="I20">
        <v>9.4016000000000002</v>
      </c>
      <c r="J20">
        <v>1</v>
      </c>
      <c r="L20" t="s">
        <v>336</v>
      </c>
    </row>
    <row r="21" spans="2:12" x14ac:dyDescent="0.3">
      <c r="B21" t="s">
        <v>108</v>
      </c>
      <c r="C21">
        <v>2.0304000000000002</v>
      </c>
      <c r="D21">
        <v>17.662199999999999</v>
      </c>
      <c r="E21">
        <v>10.147399999999999</v>
      </c>
      <c r="F21">
        <v>9.7301000000000002</v>
      </c>
      <c r="G21">
        <v>14.429399999999999</v>
      </c>
      <c r="H21">
        <v>14.5785</v>
      </c>
      <c r="I21">
        <v>23.970600000000001</v>
      </c>
      <c r="J21">
        <v>1</v>
      </c>
      <c r="K21" t="s">
        <v>143</v>
      </c>
      <c r="L21" t="s">
        <v>337</v>
      </c>
    </row>
    <row r="22" spans="2:12" x14ac:dyDescent="0.3">
      <c r="B22" t="s">
        <v>109</v>
      </c>
      <c r="C22">
        <v>2.0369999999999999</v>
      </c>
      <c r="D22">
        <v>17.637599999999999</v>
      </c>
      <c r="E22">
        <v>10.3085</v>
      </c>
      <c r="F22">
        <v>9.8934999999999995</v>
      </c>
      <c r="G22">
        <v>14.4117</v>
      </c>
      <c r="H22">
        <v>14.8163</v>
      </c>
      <c r="I22">
        <v>23.9877</v>
      </c>
      <c r="J22">
        <v>1</v>
      </c>
      <c r="K22" t="s">
        <v>143</v>
      </c>
      <c r="L22" t="s">
        <v>338</v>
      </c>
    </row>
    <row r="23" spans="2:12" x14ac:dyDescent="0.3">
      <c r="B23" t="s">
        <v>125</v>
      </c>
      <c r="C23">
        <v>0.216</v>
      </c>
      <c r="D23">
        <v>32.570700000000002</v>
      </c>
      <c r="E23" t="s">
        <v>135</v>
      </c>
      <c r="F23" t="s">
        <v>135</v>
      </c>
      <c r="G23">
        <v>12.320499999999999</v>
      </c>
      <c r="H23">
        <v>1.4452</v>
      </c>
      <c r="I23">
        <v>22.1751</v>
      </c>
      <c r="J23">
        <v>1</v>
      </c>
      <c r="L23" t="s">
        <v>355</v>
      </c>
    </row>
    <row r="24" spans="2:12" x14ac:dyDescent="0.3">
      <c r="B24" t="s">
        <v>126</v>
      </c>
      <c r="C24">
        <v>0.2288</v>
      </c>
      <c r="D24">
        <v>32.570399999999999</v>
      </c>
      <c r="E24" t="s">
        <v>135</v>
      </c>
      <c r="F24" t="s">
        <v>135</v>
      </c>
      <c r="G24">
        <v>12.239000000000001</v>
      </c>
      <c r="H24">
        <v>1.5267999999999999</v>
      </c>
      <c r="I24">
        <v>22.1173</v>
      </c>
      <c r="J24">
        <v>1</v>
      </c>
      <c r="L24" t="s">
        <v>356</v>
      </c>
    </row>
    <row r="25" spans="2:12" x14ac:dyDescent="0.3">
      <c r="B25" t="s">
        <v>127</v>
      </c>
      <c r="C25">
        <v>0.1057</v>
      </c>
      <c r="D25">
        <v>12.7049</v>
      </c>
      <c r="E25" t="s">
        <v>135</v>
      </c>
      <c r="F25" t="s">
        <v>135</v>
      </c>
      <c r="G25">
        <v>1.2079</v>
      </c>
      <c r="H25">
        <v>0.14419999999999999</v>
      </c>
      <c r="I25">
        <v>7.3006000000000002</v>
      </c>
      <c r="J25">
        <v>1</v>
      </c>
      <c r="L25" t="s">
        <v>357</v>
      </c>
    </row>
    <row r="26" spans="2:12" x14ac:dyDescent="0.3">
      <c r="B26" t="s">
        <v>100</v>
      </c>
      <c r="C26" t="s">
        <v>135</v>
      </c>
      <c r="D26" t="s">
        <v>135</v>
      </c>
      <c r="E26" t="s">
        <v>135</v>
      </c>
      <c r="F26" t="s">
        <v>135</v>
      </c>
      <c r="G26" t="s">
        <v>135</v>
      </c>
      <c r="H26" t="s">
        <v>135</v>
      </c>
      <c r="I26" t="s">
        <v>135</v>
      </c>
      <c r="J26">
        <v>1</v>
      </c>
      <c r="L26" t="s">
        <v>326</v>
      </c>
    </row>
    <row r="27" spans="2:12" x14ac:dyDescent="0.3">
      <c r="B27" t="s">
        <v>102</v>
      </c>
      <c r="C27">
        <v>0.15090000000000001</v>
      </c>
      <c r="D27">
        <v>20.142700000000001</v>
      </c>
      <c r="E27" t="s">
        <v>135</v>
      </c>
      <c r="F27" t="s">
        <v>135</v>
      </c>
      <c r="G27">
        <v>7.3864999999999998</v>
      </c>
      <c r="H27">
        <v>0.72440000000000004</v>
      </c>
      <c r="I27">
        <v>12.025399999999999</v>
      </c>
      <c r="J27">
        <v>1</v>
      </c>
      <c r="L27" t="s">
        <v>328</v>
      </c>
    </row>
    <row r="28" spans="2:12" x14ac:dyDescent="0.3">
      <c r="B28" t="s">
        <v>103</v>
      </c>
      <c r="C28">
        <v>0.1467</v>
      </c>
      <c r="D28">
        <v>20.174800000000001</v>
      </c>
      <c r="E28" t="s">
        <v>135</v>
      </c>
      <c r="F28" t="s">
        <v>135</v>
      </c>
      <c r="G28">
        <v>7.4549000000000003</v>
      </c>
      <c r="H28">
        <v>0.77910000000000001</v>
      </c>
      <c r="I28">
        <v>12.017200000000001</v>
      </c>
      <c r="J28">
        <v>1</v>
      </c>
      <c r="L28" t="s">
        <v>329</v>
      </c>
    </row>
    <row r="29" spans="2:12" x14ac:dyDescent="0.3">
      <c r="B29" t="s">
        <v>101</v>
      </c>
      <c r="C29" t="s">
        <v>135</v>
      </c>
      <c r="D29">
        <v>0.1842</v>
      </c>
      <c r="E29" t="s">
        <v>135</v>
      </c>
      <c r="F29" t="s">
        <v>135</v>
      </c>
      <c r="G29">
        <v>0.1071</v>
      </c>
      <c r="H29" t="s">
        <v>135</v>
      </c>
      <c r="I29" t="s">
        <v>135</v>
      </c>
      <c r="J29">
        <v>1</v>
      </c>
      <c r="L29" t="s">
        <v>327</v>
      </c>
    </row>
    <row r="30" spans="2:12" x14ac:dyDescent="0.3">
      <c r="B30" t="s">
        <v>170</v>
      </c>
      <c r="C30" t="s">
        <v>135</v>
      </c>
      <c r="D30" t="s">
        <v>135</v>
      </c>
      <c r="E30" t="s">
        <v>135</v>
      </c>
      <c r="F30" t="s">
        <v>135</v>
      </c>
      <c r="G30" t="s">
        <v>135</v>
      </c>
      <c r="H30" t="s">
        <v>135</v>
      </c>
      <c r="I30" t="s">
        <v>135</v>
      </c>
      <c r="J30">
        <v>1</v>
      </c>
      <c r="L30" t="s">
        <v>369</v>
      </c>
    </row>
    <row r="31" spans="2:12" x14ac:dyDescent="0.3">
      <c r="B31" t="s">
        <v>174</v>
      </c>
      <c r="C31" t="s">
        <v>135</v>
      </c>
      <c r="D31" t="s">
        <v>135</v>
      </c>
      <c r="E31" t="s">
        <v>135</v>
      </c>
      <c r="F31" t="s">
        <v>135</v>
      </c>
      <c r="G31" t="s">
        <v>135</v>
      </c>
      <c r="H31" t="s">
        <v>135</v>
      </c>
      <c r="I31" t="s">
        <v>135</v>
      </c>
      <c r="J31">
        <v>1</v>
      </c>
      <c r="L31" t="s">
        <v>374</v>
      </c>
    </row>
    <row r="32" spans="2:12" x14ac:dyDescent="0.3">
      <c r="B32" t="s">
        <v>175</v>
      </c>
      <c r="C32" t="s">
        <v>135</v>
      </c>
      <c r="D32" t="s">
        <v>135</v>
      </c>
      <c r="E32" t="s">
        <v>135</v>
      </c>
      <c r="F32" t="s">
        <v>135</v>
      </c>
      <c r="G32" t="s">
        <v>135</v>
      </c>
      <c r="H32" t="s">
        <v>135</v>
      </c>
      <c r="I32" t="s">
        <v>135</v>
      </c>
      <c r="J32">
        <v>1</v>
      </c>
      <c r="L32" t="s">
        <v>375</v>
      </c>
    </row>
    <row r="33" spans="2:12" x14ac:dyDescent="0.3">
      <c r="B33" t="s">
        <v>176</v>
      </c>
      <c r="C33" t="s">
        <v>135</v>
      </c>
      <c r="D33" t="s">
        <v>135</v>
      </c>
      <c r="E33" t="s">
        <v>135</v>
      </c>
      <c r="F33" t="s">
        <v>135</v>
      </c>
      <c r="G33" t="s">
        <v>135</v>
      </c>
      <c r="H33" t="s">
        <v>135</v>
      </c>
      <c r="I33" t="s">
        <v>135</v>
      </c>
      <c r="J33">
        <v>1</v>
      </c>
      <c r="L33" t="s">
        <v>376</v>
      </c>
    </row>
    <row r="34" spans="2:12" x14ac:dyDescent="0.3">
      <c r="B34" t="s">
        <v>177</v>
      </c>
      <c r="C34" t="s">
        <v>135</v>
      </c>
      <c r="D34" t="s">
        <v>135</v>
      </c>
      <c r="E34" t="s">
        <v>135</v>
      </c>
      <c r="F34" t="s">
        <v>135</v>
      </c>
      <c r="G34" t="s">
        <v>135</v>
      </c>
      <c r="H34" t="s">
        <v>135</v>
      </c>
      <c r="I34" t="s">
        <v>135</v>
      </c>
      <c r="J34">
        <v>1</v>
      </c>
      <c r="L34" t="s">
        <v>377</v>
      </c>
    </row>
    <row r="35" spans="2:12" x14ac:dyDescent="0.3">
      <c r="B35" t="s">
        <v>171</v>
      </c>
      <c r="C35" t="s">
        <v>135</v>
      </c>
      <c r="D35" t="s">
        <v>135</v>
      </c>
      <c r="E35" t="s">
        <v>135</v>
      </c>
      <c r="F35" t="s">
        <v>135</v>
      </c>
      <c r="G35" t="s">
        <v>135</v>
      </c>
      <c r="H35" t="s">
        <v>135</v>
      </c>
      <c r="I35" t="s">
        <v>135</v>
      </c>
      <c r="J35">
        <v>1</v>
      </c>
      <c r="L35" t="s">
        <v>370</v>
      </c>
    </row>
    <row r="36" spans="2:12" x14ac:dyDescent="0.3">
      <c r="B36" t="s">
        <v>178</v>
      </c>
      <c r="C36" t="s">
        <v>135</v>
      </c>
      <c r="D36" t="s">
        <v>135</v>
      </c>
      <c r="E36" t="s">
        <v>135</v>
      </c>
      <c r="F36" t="s">
        <v>135</v>
      </c>
      <c r="G36" t="s">
        <v>135</v>
      </c>
      <c r="H36" t="s">
        <v>135</v>
      </c>
      <c r="I36" t="s">
        <v>135</v>
      </c>
      <c r="J36">
        <v>1</v>
      </c>
      <c r="L36" t="s">
        <v>378</v>
      </c>
    </row>
    <row r="37" spans="2:12" x14ac:dyDescent="0.3">
      <c r="B37" t="s">
        <v>179</v>
      </c>
      <c r="C37" t="s">
        <v>135</v>
      </c>
      <c r="D37" t="s">
        <v>135</v>
      </c>
      <c r="E37" t="s">
        <v>135</v>
      </c>
      <c r="F37" t="s">
        <v>135</v>
      </c>
      <c r="G37" t="s">
        <v>135</v>
      </c>
      <c r="H37" t="s">
        <v>135</v>
      </c>
      <c r="I37" t="s">
        <v>135</v>
      </c>
      <c r="J37">
        <v>1</v>
      </c>
      <c r="L37" t="s">
        <v>379</v>
      </c>
    </row>
    <row r="38" spans="2:12" x14ac:dyDescent="0.3">
      <c r="B38" t="s">
        <v>180</v>
      </c>
      <c r="C38" t="s">
        <v>135</v>
      </c>
      <c r="D38" t="s">
        <v>135</v>
      </c>
      <c r="E38" t="s">
        <v>135</v>
      </c>
      <c r="F38" t="s">
        <v>135</v>
      </c>
      <c r="G38" t="s">
        <v>135</v>
      </c>
      <c r="H38" t="s">
        <v>135</v>
      </c>
      <c r="I38" t="s">
        <v>135</v>
      </c>
      <c r="J38">
        <v>1</v>
      </c>
      <c r="L38" t="s">
        <v>380</v>
      </c>
    </row>
    <row r="39" spans="2:12" x14ac:dyDescent="0.3">
      <c r="B39" t="s">
        <v>181</v>
      </c>
      <c r="C39" t="s">
        <v>135</v>
      </c>
      <c r="D39" t="s">
        <v>135</v>
      </c>
      <c r="E39" t="s">
        <v>135</v>
      </c>
      <c r="F39" t="s">
        <v>135</v>
      </c>
      <c r="G39" t="s">
        <v>135</v>
      </c>
      <c r="H39" t="s">
        <v>135</v>
      </c>
      <c r="I39" t="s">
        <v>135</v>
      </c>
      <c r="J39">
        <v>1</v>
      </c>
      <c r="L39" t="s">
        <v>381</v>
      </c>
    </row>
    <row r="40" spans="2:12" x14ac:dyDescent="0.3">
      <c r="B40" t="s">
        <v>182</v>
      </c>
      <c r="C40" t="s">
        <v>135</v>
      </c>
      <c r="D40" t="s">
        <v>135</v>
      </c>
      <c r="E40" t="s">
        <v>135</v>
      </c>
      <c r="F40" t="s">
        <v>135</v>
      </c>
      <c r="G40" t="s">
        <v>135</v>
      </c>
      <c r="H40" t="s">
        <v>135</v>
      </c>
      <c r="I40" t="s">
        <v>135</v>
      </c>
      <c r="J40">
        <v>1</v>
      </c>
      <c r="L40" t="s">
        <v>382</v>
      </c>
    </row>
    <row r="41" spans="2:12" x14ac:dyDescent="0.3">
      <c r="B41" t="s">
        <v>172</v>
      </c>
      <c r="C41" t="s">
        <v>135</v>
      </c>
      <c r="D41" t="s">
        <v>135</v>
      </c>
      <c r="E41" t="s">
        <v>135</v>
      </c>
      <c r="F41" t="s">
        <v>135</v>
      </c>
      <c r="G41" t="s">
        <v>135</v>
      </c>
      <c r="H41" t="s">
        <v>135</v>
      </c>
      <c r="I41" t="s">
        <v>135</v>
      </c>
      <c r="J41">
        <v>1</v>
      </c>
      <c r="L41" t="s">
        <v>371</v>
      </c>
    </row>
    <row r="42" spans="2:12" x14ac:dyDescent="0.3">
      <c r="B42" t="s">
        <v>183</v>
      </c>
      <c r="C42" t="s">
        <v>135</v>
      </c>
      <c r="D42" t="s">
        <v>135</v>
      </c>
      <c r="E42" t="s">
        <v>135</v>
      </c>
      <c r="F42" t="s">
        <v>135</v>
      </c>
      <c r="G42" t="s">
        <v>135</v>
      </c>
      <c r="H42" t="s">
        <v>135</v>
      </c>
      <c r="I42" t="s">
        <v>135</v>
      </c>
      <c r="J42">
        <v>1</v>
      </c>
      <c r="L42" t="s">
        <v>386</v>
      </c>
    </row>
    <row r="43" spans="2:12" x14ac:dyDescent="0.3">
      <c r="B43" t="s">
        <v>184</v>
      </c>
      <c r="C43" t="s">
        <v>135</v>
      </c>
      <c r="D43" t="s">
        <v>135</v>
      </c>
      <c r="E43" t="s">
        <v>135</v>
      </c>
      <c r="F43" t="s">
        <v>135</v>
      </c>
      <c r="G43" t="s">
        <v>135</v>
      </c>
      <c r="H43" t="s">
        <v>135</v>
      </c>
      <c r="I43" t="s">
        <v>135</v>
      </c>
      <c r="J43">
        <v>1</v>
      </c>
      <c r="K43" t="s">
        <v>194</v>
      </c>
      <c r="L43" t="s">
        <v>387</v>
      </c>
    </row>
    <row r="44" spans="2:12" x14ac:dyDescent="0.3">
      <c r="B44" t="s">
        <v>185</v>
      </c>
      <c r="C44" t="s">
        <v>135</v>
      </c>
      <c r="D44" t="s">
        <v>135</v>
      </c>
      <c r="E44" t="s">
        <v>135</v>
      </c>
      <c r="F44" t="s">
        <v>135</v>
      </c>
      <c r="G44" t="s">
        <v>135</v>
      </c>
      <c r="H44" t="s">
        <v>135</v>
      </c>
      <c r="I44" t="s">
        <v>135</v>
      </c>
      <c r="J44">
        <v>1</v>
      </c>
      <c r="K44" t="s">
        <v>194</v>
      </c>
      <c r="L44" t="s">
        <v>388</v>
      </c>
    </row>
    <row r="45" spans="2:12" x14ac:dyDescent="0.3">
      <c r="B45" t="s">
        <v>186</v>
      </c>
      <c r="C45" t="s">
        <v>135</v>
      </c>
      <c r="D45" t="s">
        <v>135</v>
      </c>
      <c r="E45" t="s">
        <v>135</v>
      </c>
      <c r="F45" t="s">
        <v>135</v>
      </c>
      <c r="G45" t="s">
        <v>135</v>
      </c>
      <c r="H45" t="s">
        <v>135</v>
      </c>
      <c r="I45" t="s">
        <v>135</v>
      </c>
      <c r="J45">
        <v>1</v>
      </c>
      <c r="L45" t="s">
        <v>389</v>
      </c>
    </row>
    <row r="46" spans="2:12" x14ac:dyDescent="0.3">
      <c r="B46" t="s">
        <v>187</v>
      </c>
      <c r="C46" t="s">
        <v>135</v>
      </c>
      <c r="D46" t="s">
        <v>135</v>
      </c>
      <c r="E46" t="s">
        <v>135</v>
      </c>
      <c r="F46" t="s">
        <v>135</v>
      </c>
      <c r="G46" t="s">
        <v>135</v>
      </c>
      <c r="H46" t="s">
        <v>135</v>
      </c>
      <c r="I46" t="s">
        <v>135</v>
      </c>
      <c r="J46">
        <v>1</v>
      </c>
      <c r="L46" t="s">
        <v>390</v>
      </c>
    </row>
    <row r="47" spans="2:12" x14ac:dyDescent="0.3">
      <c r="B47" t="s">
        <v>188</v>
      </c>
      <c r="C47" t="s">
        <v>135</v>
      </c>
      <c r="D47" t="s">
        <v>135</v>
      </c>
      <c r="E47" t="s">
        <v>135</v>
      </c>
      <c r="F47" t="s">
        <v>135</v>
      </c>
      <c r="G47" t="s">
        <v>135</v>
      </c>
      <c r="H47" t="s">
        <v>135</v>
      </c>
      <c r="I47" t="s">
        <v>135</v>
      </c>
      <c r="J47">
        <v>1</v>
      </c>
      <c r="L47" t="s">
        <v>391</v>
      </c>
    </row>
    <row r="48" spans="2:12" x14ac:dyDescent="0.3">
      <c r="B48" t="s">
        <v>173</v>
      </c>
      <c r="C48" t="s">
        <v>135</v>
      </c>
      <c r="D48" t="s">
        <v>135</v>
      </c>
      <c r="E48" t="s">
        <v>135</v>
      </c>
      <c r="F48" t="s">
        <v>135</v>
      </c>
      <c r="G48" t="s">
        <v>135</v>
      </c>
      <c r="H48" t="s">
        <v>135</v>
      </c>
      <c r="I48" t="s">
        <v>135</v>
      </c>
      <c r="J48">
        <v>1</v>
      </c>
      <c r="L48" t="s">
        <v>373</v>
      </c>
    </row>
    <row r="49" spans="2:12" x14ac:dyDescent="0.3">
      <c r="B49" t="s">
        <v>189</v>
      </c>
      <c r="C49" t="s">
        <v>135</v>
      </c>
      <c r="D49" t="s">
        <v>135</v>
      </c>
      <c r="E49" t="s">
        <v>135</v>
      </c>
      <c r="F49" t="s">
        <v>135</v>
      </c>
      <c r="G49" t="s">
        <v>135</v>
      </c>
      <c r="H49" t="s">
        <v>135</v>
      </c>
      <c r="I49" t="s">
        <v>135</v>
      </c>
      <c r="J49">
        <v>1</v>
      </c>
      <c r="L49" t="s">
        <v>392</v>
      </c>
    </row>
    <row r="50" spans="2:12" x14ac:dyDescent="0.3">
      <c r="B50" t="s">
        <v>190</v>
      </c>
      <c r="C50" t="s">
        <v>135</v>
      </c>
      <c r="D50" t="s">
        <v>135</v>
      </c>
      <c r="E50" t="s">
        <v>135</v>
      </c>
      <c r="F50" t="s">
        <v>135</v>
      </c>
      <c r="G50" t="s">
        <v>135</v>
      </c>
      <c r="H50" t="s">
        <v>135</v>
      </c>
      <c r="I50" t="s">
        <v>135</v>
      </c>
      <c r="J50">
        <v>1</v>
      </c>
      <c r="L50" t="s">
        <v>393</v>
      </c>
    </row>
    <row r="51" spans="2:12" x14ac:dyDescent="0.3">
      <c r="B51" t="s">
        <v>191</v>
      </c>
      <c r="C51" t="s">
        <v>135</v>
      </c>
      <c r="D51" t="s">
        <v>135</v>
      </c>
      <c r="E51" t="s">
        <v>135</v>
      </c>
      <c r="F51" t="s">
        <v>135</v>
      </c>
      <c r="G51" t="s">
        <v>135</v>
      </c>
      <c r="H51" t="s">
        <v>135</v>
      </c>
      <c r="I51" t="s">
        <v>135</v>
      </c>
      <c r="J51">
        <v>1</v>
      </c>
      <c r="L51" t="s">
        <v>394</v>
      </c>
    </row>
    <row r="52" spans="2:12" x14ac:dyDescent="0.3">
      <c r="B52" t="s">
        <v>192</v>
      </c>
      <c r="C52" t="s">
        <v>135</v>
      </c>
      <c r="D52" t="s">
        <v>135</v>
      </c>
      <c r="E52" t="s">
        <v>135</v>
      </c>
      <c r="F52" t="s">
        <v>135</v>
      </c>
      <c r="G52" t="s">
        <v>135</v>
      </c>
      <c r="H52" t="s">
        <v>135</v>
      </c>
      <c r="I52" t="s">
        <v>135</v>
      </c>
      <c r="J52">
        <v>1</v>
      </c>
      <c r="L52" t="s">
        <v>395</v>
      </c>
    </row>
    <row r="53" spans="2:12" x14ac:dyDescent="0.3">
      <c r="B53" t="s">
        <v>198</v>
      </c>
      <c r="C53" t="s">
        <v>135</v>
      </c>
      <c r="D53" t="s">
        <v>135</v>
      </c>
      <c r="E53" t="s">
        <v>135</v>
      </c>
      <c r="F53" t="s">
        <v>135</v>
      </c>
      <c r="G53" t="s">
        <v>135</v>
      </c>
      <c r="H53" t="s">
        <v>135</v>
      </c>
      <c r="I53" t="s">
        <v>135</v>
      </c>
      <c r="J53">
        <v>1</v>
      </c>
      <c r="L53" t="s">
        <v>397</v>
      </c>
    </row>
    <row r="54" spans="2:12" x14ac:dyDescent="0.3">
      <c r="B54" t="s">
        <v>166</v>
      </c>
      <c r="C54" t="s">
        <v>135</v>
      </c>
      <c r="D54" t="s">
        <v>135</v>
      </c>
      <c r="E54" t="s">
        <v>135</v>
      </c>
      <c r="F54" t="s">
        <v>135</v>
      </c>
      <c r="G54" t="s">
        <v>135</v>
      </c>
      <c r="H54" t="s">
        <v>135</v>
      </c>
      <c r="I54" t="s">
        <v>135</v>
      </c>
      <c r="J54">
        <v>1</v>
      </c>
      <c r="L54" t="s">
        <v>365</v>
      </c>
    </row>
    <row r="55" spans="2:12" x14ac:dyDescent="0.3">
      <c r="B55" t="s">
        <v>168</v>
      </c>
      <c r="C55" t="s">
        <v>135</v>
      </c>
      <c r="D55" t="s">
        <v>135</v>
      </c>
      <c r="E55" t="s">
        <v>135</v>
      </c>
      <c r="F55" t="s">
        <v>135</v>
      </c>
      <c r="G55" t="s">
        <v>135</v>
      </c>
      <c r="H55" t="s">
        <v>135</v>
      </c>
      <c r="I55" t="s">
        <v>135</v>
      </c>
      <c r="J55">
        <v>1</v>
      </c>
      <c r="L55" t="s">
        <v>367</v>
      </c>
    </row>
    <row r="56" spans="2:12" x14ac:dyDescent="0.3">
      <c r="B56" t="s">
        <v>169</v>
      </c>
      <c r="C56" t="s">
        <v>135</v>
      </c>
      <c r="D56" t="s">
        <v>135</v>
      </c>
      <c r="E56" t="s">
        <v>135</v>
      </c>
      <c r="F56" t="s">
        <v>135</v>
      </c>
      <c r="G56" t="s">
        <v>135</v>
      </c>
      <c r="H56" t="s">
        <v>135</v>
      </c>
      <c r="I56" t="s">
        <v>135</v>
      </c>
      <c r="J56">
        <v>1</v>
      </c>
      <c r="L56" t="s">
        <v>368</v>
      </c>
    </row>
    <row r="57" spans="2:12" x14ac:dyDescent="0.3">
      <c r="B57" t="s">
        <v>167</v>
      </c>
      <c r="C57" t="s">
        <v>135</v>
      </c>
      <c r="D57" t="s">
        <v>135</v>
      </c>
      <c r="E57" t="s">
        <v>135</v>
      </c>
      <c r="F57" t="s">
        <v>135</v>
      </c>
      <c r="G57" t="s">
        <v>135</v>
      </c>
      <c r="H57" t="s">
        <v>135</v>
      </c>
      <c r="I57" t="s">
        <v>135</v>
      </c>
      <c r="J57">
        <v>1</v>
      </c>
      <c r="L57" t="s">
        <v>366</v>
      </c>
    </row>
    <row r="58" spans="2:12" x14ac:dyDescent="0.3">
      <c r="B58" t="s">
        <v>465</v>
      </c>
      <c r="C58" t="s">
        <v>135</v>
      </c>
      <c r="D58" t="s">
        <v>135</v>
      </c>
      <c r="E58" t="s">
        <v>135</v>
      </c>
      <c r="F58" t="s">
        <v>135</v>
      </c>
      <c r="G58" t="s">
        <v>135</v>
      </c>
      <c r="H58" t="s">
        <v>135</v>
      </c>
      <c r="I58" t="s">
        <v>135</v>
      </c>
      <c r="J58">
        <v>1</v>
      </c>
      <c r="L58" t="s">
        <v>413</v>
      </c>
    </row>
    <row r="59" spans="2:12" x14ac:dyDescent="0.3">
      <c r="B59" t="s">
        <v>466</v>
      </c>
      <c r="C59" t="s">
        <v>135</v>
      </c>
      <c r="D59" t="s">
        <v>135</v>
      </c>
      <c r="E59" t="s">
        <v>135</v>
      </c>
      <c r="F59" t="s">
        <v>135</v>
      </c>
      <c r="G59" t="s">
        <v>135</v>
      </c>
      <c r="H59" t="s">
        <v>135</v>
      </c>
      <c r="I59" t="s">
        <v>135</v>
      </c>
      <c r="J59">
        <v>1</v>
      </c>
      <c r="L59" t="s">
        <v>414</v>
      </c>
    </row>
    <row r="60" spans="2:12" x14ac:dyDescent="0.3">
      <c r="B60" t="s">
        <v>461</v>
      </c>
      <c r="C60" t="s">
        <v>135</v>
      </c>
      <c r="D60" t="s">
        <v>135</v>
      </c>
      <c r="E60" t="s">
        <v>135</v>
      </c>
      <c r="F60" t="s">
        <v>135</v>
      </c>
      <c r="G60" t="s">
        <v>135</v>
      </c>
      <c r="H60" t="s">
        <v>135</v>
      </c>
      <c r="I60" t="s">
        <v>135</v>
      </c>
      <c r="J60">
        <v>1</v>
      </c>
      <c r="L60" t="s">
        <v>408</v>
      </c>
    </row>
    <row r="61" spans="2:12" x14ac:dyDescent="0.3">
      <c r="B61" t="s">
        <v>467</v>
      </c>
      <c r="C61" t="s">
        <v>135</v>
      </c>
      <c r="D61" t="s">
        <v>135</v>
      </c>
      <c r="E61" t="s">
        <v>135</v>
      </c>
      <c r="F61" t="s">
        <v>135</v>
      </c>
      <c r="G61" t="s">
        <v>135</v>
      </c>
      <c r="H61" t="s">
        <v>135</v>
      </c>
      <c r="I61" t="s">
        <v>135</v>
      </c>
      <c r="J61">
        <v>1</v>
      </c>
      <c r="L61" t="s">
        <v>415</v>
      </c>
    </row>
    <row r="62" spans="2:12" x14ac:dyDescent="0.3">
      <c r="B62" t="s">
        <v>468</v>
      </c>
      <c r="C62" t="s">
        <v>135</v>
      </c>
      <c r="D62" t="s">
        <v>135</v>
      </c>
      <c r="E62" t="s">
        <v>135</v>
      </c>
      <c r="F62" t="s">
        <v>135</v>
      </c>
      <c r="G62" t="s">
        <v>135</v>
      </c>
      <c r="H62" t="s">
        <v>135</v>
      </c>
      <c r="I62" t="s">
        <v>135</v>
      </c>
      <c r="J62">
        <v>1</v>
      </c>
      <c r="L62" t="s">
        <v>416</v>
      </c>
    </row>
    <row r="63" spans="2:12" x14ac:dyDescent="0.3">
      <c r="B63" t="s">
        <v>469</v>
      </c>
      <c r="C63" t="s">
        <v>135</v>
      </c>
      <c r="D63" t="s">
        <v>135</v>
      </c>
      <c r="E63" t="s">
        <v>135</v>
      </c>
      <c r="F63" t="s">
        <v>135</v>
      </c>
      <c r="G63" t="s">
        <v>135</v>
      </c>
      <c r="H63" t="s">
        <v>135</v>
      </c>
      <c r="I63" t="s">
        <v>135</v>
      </c>
      <c r="J63">
        <v>1</v>
      </c>
      <c r="L63" t="s">
        <v>417</v>
      </c>
    </row>
    <row r="64" spans="2:12" x14ac:dyDescent="0.3">
      <c r="B64" t="s">
        <v>470</v>
      </c>
      <c r="C64" t="s">
        <v>135</v>
      </c>
      <c r="D64" t="s">
        <v>135</v>
      </c>
      <c r="E64" t="s">
        <v>135</v>
      </c>
      <c r="F64" t="s">
        <v>135</v>
      </c>
      <c r="G64" t="s">
        <v>135</v>
      </c>
      <c r="H64" t="s">
        <v>135</v>
      </c>
      <c r="I64" t="s">
        <v>135</v>
      </c>
      <c r="J64">
        <v>1</v>
      </c>
      <c r="L64" t="s">
        <v>418</v>
      </c>
    </row>
    <row r="65" spans="2:12" x14ac:dyDescent="0.3">
      <c r="B65" t="s">
        <v>471</v>
      </c>
      <c r="C65" t="s">
        <v>135</v>
      </c>
      <c r="D65" t="s">
        <v>135</v>
      </c>
      <c r="E65" t="s">
        <v>135</v>
      </c>
      <c r="F65" t="s">
        <v>135</v>
      </c>
      <c r="G65" t="s">
        <v>135</v>
      </c>
      <c r="H65" t="s">
        <v>135</v>
      </c>
      <c r="I65" t="s">
        <v>135</v>
      </c>
      <c r="J65">
        <v>1</v>
      </c>
      <c r="L65" t="s">
        <v>419</v>
      </c>
    </row>
    <row r="66" spans="2:12" x14ac:dyDescent="0.3">
      <c r="B66" t="s">
        <v>462</v>
      </c>
      <c r="C66" t="s">
        <v>135</v>
      </c>
      <c r="D66" t="s">
        <v>135</v>
      </c>
      <c r="E66" t="s">
        <v>135</v>
      </c>
      <c r="F66" t="s">
        <v>135</v>
      </c>
      <c r="G66" t="s">
        <v>135</v>
      </c>
      <c r="H66" t="s">
        <v>135</v>
      </c>
      <c r="I66" t="s">
        <v>135</v>
      </c>
      <c r="J66">
        <v>1</v>
      </c>
      <c r="L66" t="s">
        <v>409</v>
      </c>
    </row>
    <row r="67" spans="2:12" x14ac:dyDescent="0.3">
      <c r="B67" t="s">
        <v>472</v>
      </c>
      <c r="C67" t="s">
        <v>135</v>
      </c>
      <c r="D67" t="s">
        <v>135</v>
      </c>
      <c r="E67" t="s">
        <v>135</v>
      </c>
      <c r="F67" t="s">
        <v>135</v>
      </c>
      <c r="G67" t="s">
        <v>135</v>
      </c>
      <c r="H67" t="s">
        <v>135</v>
      </c>
      <c r="I67" t="s">
        <v>135</v>
      </c>
      <c r="J67">
        <v>1</v>
      </c>
      <c r="L67" t="s">
        <v>420</v>
      </c>
    </row>
    <row r="68" spans="2:12" x14ac:dyDescent="0.3">
      <c r="B68" t="s">
        <v>473</v>
      </c>
      <c r="C68" t="s">
        <v>135</v>
      </c>
      <c r="D68" t="s">
        <v>135</v>
      </c>
      <c r="E68" t="s">
        <v>135</v>
      </c>
      <c r="F68" t="s">
        <v>135</v>
      </c>
      <c r="G68" t="s">
        <v>135</v>
      </c>
      <c r="H68" t="s">
        <v>135</v>
      </c>
      <c r="I68" t="s">
        <v>135</v>
      </c>
      <c r="J68">
        <v>1</v>
      </c>
      <c r="L68" t="s">
        <v>421</v>
      </c>
    </row>
    <row r="69" spans="2:12" x14ac:dyDescent="0.3">
      <c r="B69" t="s">
        <v>474</v>
      </c>
      <c r="C69" t="s">
        <v>135</v>
      </c>
      <c r="D69" t="s">
        <v>135</v>
      </c>
      <c r="E69" t="s">
        <v>135</v>
      </c>
      <c r="F69" t="s">
        <v>135</v>
      </c>
      <c r="G69" t="s">
        <v>135</v>
      </c>
      <c r="H69" t="s">
        <v>135</v>
      </c>
      <c r="I69" t="s">
        <v>135</v>
      </c>
      <c r="J69">
        <v>1</v>
      </c>
      <c r="L69" t="s">
        <v>422</v>
      </c>
    </row>
    <row r="70" spans="2:12" x14ac:dyDescent="0.3">
      <c r="B70" t="s">
        <v>475</v>
      </c>
      <c r="C70" t="s">
        <v>135</v>
      </c>
      <c r="D70" t="s">
        <v>135</v>
      </c>
      <c r="E70" t="s">
        <v>135</v>
      </c>
      <c r="F70" t="s">
        <v>135</v>
      </c>
      <c r="G70" t="s">
        <v>135</v>
      </c>
      <c r="H70" t="s">
        <v>135</v>
      </c>
      <c r="I70" t="s">
        <v>135</v>
      </c>
      <c r="J70">
        <v>1</v>
      </c>
      <c r="L70" t="s">
        <v>426</v>
      </c>
    </row>
    <row r="71" spans="2:12" x14ac:dyDescent="0.3">
      <c r="B71" t="s">
        <v>476</v>
      </c>
      <c r="C71" t="s">
        <v>135</v>
      </c>
      <c r="D71" t="s">
        <v>135</v>
      </c>
      <c r="E71" t="s">
        <v>135</v>
      </c>
      <c r="F71" t="s">
        <v>135</v>
      </c>
      <c r="G71" t="s">
        <v>135</v>
      </c>
      <c r="H71" t="s">
        <v>135</v>
      </c>
      <c r="I71" t="s">
        <v>135</v>
      </c>
      <c r="J71">
        <v>1</v>
      </c>
      <c r="K71" t="s">
        <v>194</v>
      </c>
      <c r="L71" t="s">
        <v>427</v>
      </c>
    </row>
    <row r="72" spans="2:12" x14ac:dyDescent="0.3">
      <c r="B72" t="s">
        <v>477</v>
      </c>
      <c r="C72" t="s">
        <v>135</v>
      </c>
      <c r="D72" t="s">
        <v>135</v>
      </c>
      <c r="E72" t="s">
        <v>135</v>
      </c>
      <c r="F72" t="s">
        <v>135</v>
      </c>
      <c r="G72" t="s">
        <v>135</v>
      </c>
      <c r="H72" t="s">
        <v>135</v>
      </c>
      <c r="I72" t="s">
        <v>135</v>
      </c>
      <c r="J72">
        <v>1</v>
      </c>
      <c r="K72" t="s">
        <v>194</v>
      </c>
      <c r="L72" t="s">
        <v>428</v>
      </c>
    </row>
    <row r="73" spans="2:12" x14ac:dyDescent="0.3">
      <c r="B73" t="s">
        <v>463</v>
      </c>
      <c r="C73" t="s">
        <v>135</v>
      </c>
      <c r="D73" t="s">
        <v>135</v>
      </c>
      <c r="E73" t="s">
        <v>135</v>
      </c>
      <c r="F73" t="s">
        <v>135</v>
      </c>
      <c r="G73" t="s">
        <v>135</v>
      </c>
      <c r="H73" t="s">
        <v>135</v>
      </c>
      <c r="I73" t="s">
        <v>135</v>
      </c>
      <c r="J73">
        <v>1</v>
      </c>
      <c r="L73" t="s">
        <v>410</v>
      </c>
    </row>
    <row r="74" spans="2:12" x14ac:dyDescent="0.3">
      <c r="B74" t="s">
        <v>478</v>
      </c>
      <c r="C74" t="s">
        <v>135</v>
      </c>
      <c r="D74" t="s">
        <v>135</v>
      </c>
      <c r="E74" t="s">
        <v>135</v>
      </c>
      <c r="F74" t="s">
        <v>135</v>
      </c>
      <c r="G74" t="s">
        <v>135</v>
      </c>
      <c r="H74" t="s">
        <v>135</v>
      </c>
      <c r="I74" t="s">
        <v>135</v>
      </c>
      <c r="J74">
        <v>1</v>
      </c>
      <c r="L74" t="s">
        <v>429</v>
      </c>
    </row>
    <row r="75" spans="2:12" x14ac:dyDescent="0.3">
      <c r="B75" t="s">
        <v>479</v>
      </c>
      <c r="C75" t="s">
        <v>135</v>
      </c>
      <c r="D75" t="s">
        <v>135</v>
      </c>
      <c r="E75" t="s">
        <v>135</v>
      </c>
      <c r="F75" t="s">
        <v>135</v>
      </c>
      <c r="G75" t="s">
        <v>135</v>
      </c>
      <c r="H75" t="s">
        <v>135</v>
      </c>
      <c r="I75" t="s">
        <v>135</v>
      </c>
      <c r="J75">
        <v>1</v>
      </c>
      <c r="L75" t="s">
        <v>430</v>
      </c>
    </row>
    <row r="76" spans="2:12" x14ac:dyDescent="0.3">
      <c r="B76" t="s">
        <v>480</v>
      </c>
      <c r="C76" t="s">
        <v>135</v>
      </c>
      <c r="D76" t="s">
        <v>135</v>
      </c>
      <c r="E76" t="s">
        <v>135</v>
      </c>
      <c r="F76" t="s">
        <v>135</v>
      </c>
      <c r="G76" t="s">
        <v>135</v>
      </c>
      <c r="H76" t="s">
        <v>135</v>
      </c>
      <c r="I76" t="s">
        <v>135</v>
      </c>
      <c r="J76">
        <v>1</v>
      </c>
      <c r="L76" t="s">
        <v>431</v>
      </c>
    </row>
    <row r="77" spans="2:12" x14ac:dyDescent="0.3">
      <c r="B77" t="s">
        <v>481</v>
      </c>
      <c r="C77" t="s">
        <v>135</v>
      </c>
      <c r="D77" t="s">
        <v>135</v>
      </c>
      <c r="E77" t="s">
        <v>135</v>
      </c>
      <c r="F77" t="s">
        <v>135</v>
      </c>
      <c r="G77" t="s">
        <v>135</v>
      </c>
      <c r="H77" t="s">
        <v>135</v>
      </c>
      <c r="I77" t="s">
        <v>135</v>
      </c>
      <c r="J77">
        <v>1</v>
      </c>
      <c r="L77" t="s">
        <v>432</v>
      </c>
    </row>
    <row r="78" spans="2:12" x14ac:dyDescent="0.3">
      <c r="B78" t="s">
        <v>464</v>
      </c>
      <c r="C78" t="s">
        <v>135</v>
      </c>
      <c r="D78" t="s">
        <v>135</v>
      </c>
      <c r="E78" t="s">
        <v>135</v>
      </c>
      <c r="F78" t="s">
        <v>135</v>
      </c>
      <c r="G78" t="s">
        <v>135</v>
      </c>
      <c r="H78" t="s">
        <v>135</v>
      </c>
      <c r="I78" t="s">
        <v>135</v>
      </c>
      <c r="J78">
        <v>1</v>
      </c>
      <c r="L78" t="s">
        <v>411</v>
      </c>
    </row>
    <row r="79" spans="2:12" x14ac:dyDescent="0.3">
      <c r="B79" t="s">
        <v>482</v>
      </c>
      <c r="C79" t="s">
        <v>135</v>
      </c>
      <c r="D79" t="s">
        <v>135</v>
      </c>
      <c r="E79" t="s">
        <v>135</v>
      </c>
      <c r="F79" t="s">
        <v>135</v>
      </c>
      <c r="G79" t="s">
        <v>135</v>
      </c>
      <c r="H79" t="s">
        <v>135</v>
      </c>
      <c r="I79" t="s">
        <v>135</v>
      </c>
      <c r="J79">
        <v>1</v>
      </c>
      <c r="L79" t="s">
        <v>433</v>
      </c>
    </row>
    <row r="80" spans="2:12" x14ac:dyDescent="0.3">
      <c r="B80" t="s">
        <v>483</v>
      </c>
      <c r="C80" t="s">
        <v>135</v>
      </c>
      <c r="D80" t="s">
        <v>135</v>
      </c>
      <c r="E80" t="s">
        <v>135</v>
      </c>
      <c r="F80" t="s">
        <v>135</v>
      </c>
      <c r="G80" t="s">
        <v>135</v>
      </c>
      <c r="H80" t="s">
        <v>135</v>
      </c>
      <c r="I80" t="s">
        <v>135</v>
      </c>
      <c r="J80">
        <v>1</v>
      </c>
      <c r="L80" t="s">
        <v>434</v>
      </c>
    </row>
    <row r="81" spans="2:12" x14ac:dyDescent="0.3">
      <c r="B81" t="s">
        <v>484</v>
      </c>
      <c r="C81" t="s">
        <v>135</v>
      </c>
      <c r="D81" t="s">
        <v>135</v>
      </c>
      <c r="E81" t="s">
        <v>135</v>
      </c>
      <c r="F81" t="s">
        <v>135</v>
      </c>
      <c r="G81" t="s">
        <v>135</v>
      </c>
      <c r="H81" t="s">
        <v>135</v>
      </c>
      <c r="I81" t="s">
        <v>135</v>
      </c>
      <c r="J81">
        <v>1</v>
      </c>
      <c r="L81" t="s">
        <v>435</v>
      </c>
    </row>
    <row r="82" spans="2:12" x14ac:dyDescent="0.3">
      <c r="B82" t="s">
        <v>455</v>
      </c>
      <c r="C82" t="s">
        <v>135</v>
      </c>
      <c r="D82" t="s">
        <v>135</v>
      </c>
      <c r="E82" t="s">
        <v>135</v>
      </c>
      <c r="F82" t="s">
        <v>135</v>
      </c>
      <c r="G82" t="s">
        <v>135</v>
      </c>
      <c r="H82" t="s">
        <v>135</v>
      </c>
      <c r="I82" t="s">
        <v>135</v>
      </c>
      <c r="J82">
        <v>1</v>
      </c>
      <c r="L82" t="s">
        <v>402</v>
      </c>
    </row>
    <row r="83" spans="2:12" x14ac:dyDescent="0.3">
      <c r="B83" t="s">
        <v>456</v>
      </c>
      <c r="C83" t="s">
        <v>135</v>
      </c>
      <c r="D83" t="s">
        <v>135</v>
      </c>
      <c r="E83" t="s">
        <v>135</v>
      </c>
      <c r="F83" t="s">
        <v>135</v>
      </c>
      <c r="G83" t="s">
        <v>135</v>
      </c>
      <c r="H83" t="s">
        <v>135</v>
      </c>
      <c r="I83" t="s">
        <v>135</v>
      </c>
      <c r="J83">
        <v>1</v>
      </c>
      <c r="K83" t="s">
        <v>194</v>
      </c>
      <c r="L83" t="s">
        <v>403</v>
      </c>
    </row>
    <row r="84" spans="2:12" x14ac:dyDescent="0.3">
      <c r="B84" t="s">
        <v>457</v>
      </c>
      <c r="C84" t="s">
        <v>135</v>
      </c>
      <c r="D84" t="s">
        <v>135</v>
      </c>
      <c r="E84" t="s">
        <v>135</v>
      </c>
      <c r="F84" t="s">
        <v>135</v>
      </c>
      <c r="G84" t="s">
        <v>135</v>
      </c>
      <c r="H84" t="s">
        <v>135</v>
      </c>
      <c r="I84" t="s">
        <v>135</v>
      </c>
      <c r="J84">
        <v>1</v>
      </c>
      <c r="K84" t="s">
        <v>194</v>
      </c>
      <c r="L84" t="s">
        <v>404</v>
      </c>
    </row>
    <row r="85" spans="2:12" x14ac:dyDescent="0.3">
      <c r="B85" t="s">
        <v>459</v>
      </c>
      <c r="C85" t="s">
        <v>135</v>
      </c>
      <c r="D85" t="s">
        <v>135</v>
      </c>
      <c r="E85" t="s">
        <v>135</v>
      </c>
      <c r="F85" t="s">
        <v>135</v>
      </c>
      <c r="G85" t="s">
        <v>135</v>
      </c>
      <c r="H85" t="s">
        <v>135</v>
      </c>
      <c r="I85" t="s">
        <v>135</v>
      </c>
      <c r="J85">
        <v>1</v>
      </c>
      <c r="L85" t="s">
        <v>406</v>
      </c>
    </row>
    <row r="86" spans="2:12" x14ac:dyDescent="0.3">
      <c r="B86" t="s">
        <v>460</v>
      </c>
      <c r="C86" t="s">
        <v>135</v>
      </c>
      <c r="D86" t="s">
        <v>135</v>
      </c>
      <c r="E86" t="s">
        <v>135</v>
      </c>
      <c r="F86" t="s">
        <v>135</v>
      </c>
      <c r="G86" t="s">
        <v>135</v>
      </c>
      <c r="H86" t="s">
        <v>135</v>
      </c>
      <c r="I86" t="s">
        <v>135</v>
      </c>
      <c r="J86">
        <v>1</v>
      </c>
      <c r="L86" t="s">
        <v>407</v>
      </c>
    </row>
    <row r="87" spans="2:12" x14ac:dyDescent="0.3">
      <c r="B87" t="s">
        <v>458</v>
      </c>
      <c r="C87" t="s">
        <v>135</v>
      </c>
      <c r="D87" t="s">
        <v>135</v>
      </c>
      <c r="E87" t="s">
        <v>135</v>
      </c>
      <c r="F87" t="s">
        <v>135</v>
      </c>
      <c r="G87" t="s">
        <v>135</v>
      </c>
      <c r="H87" t="s">
        <v>135</v>
      </c>
      <c r="I87" t="s">
        <v>135</v>
      </c>
      <c r="J87">
        <v>1</v>
      </c>
      <c r="L87" t="s">
        <v>405</v>
      </c>
    </row>
    <row r="88" spans="2:12" x14ac:dyDescent="0.3">
      <c r="B88" t="s">
        <v>23</v>
      </c>
      <c r="C88">
        <v>2.1389</v>
      </c>
      <c r="D88">
        <v>3.1524999999999999</v>
      </c>
      <c r="E88">
        <v>11.361700000000001</v>
      </c>
      <c r="F88">
        <v>10.7843</v>
      </c>
      <c r="G88">
        <v>10.934799999999999</v>
      </c>
      <c r="H88">
        <v>16.5746</v>
      </c>
      <c r="I88">
        <v>16.9373</v>
      </c>
      <c r="J88">
        <v>1</v>
      </c>
      <c r="K88" t="s">
        <v>136</v>
      </c>
      <c r="L88" t="s">
        <v>223</v>
      </c>
    </row>
    <row r="89" spans="2:12" x14ac:dyDescent="0.3">
      <c r="B89" t="s">
        <v>23</v>
      </c>
      <c r="C89">
        <v>3.9228000000000001</v>
      </c>
      <c r="D89">
        <v>5.9142000000000001</v>
      </c>
      <c r="E89">
        <v>20.604700000000001</v>
      </c>
      <c r="F89">
        <v>20.068899999999999</v>
      </c>
      <c r="G89">
        <v>20.1433</v>
      </c>
      <c r="H89">
        <v>29.965699999999998</v>
      </c>
      <c r="I89">
        <v>30.7179</v>
      </c>
      <c r="J89">
        <v>1</v>
      </c>
      <c r="K89" t="s">
        <v>136</v>
      </c>
      <c r="L89" t="s">
        <v>247</v>
      </c>
    </row>
    <row r="90" spans="2:12" x14ac:dyDescent="0.3">
      <c r="B90" t="s">
        <v>23</v>
      </c>
      <c r="C90">
        <v>3.9788000000000001</v>
      </c>
      <c r="D90">
        <v>5.9370000000000003</v>
      </c>
      <c r="E90">
        <v>20.481000000000002</v>
      </c>
      <c r="F90">
        <v>20.139299999999999</v>
      </c>
      <c r="G90">
        <v>20.054400000000001</v>
      </c>
      <c r="H90">
        <v>29.647200000000002</v>
      </c>
      <c r="I90">
        <v>30.822900000000001</v>
      </c>
      <c r="J90">
        <v>1</v>
      </c>
      <c r="K90" t="s">
        <v>136</v>
      </c>
      <c r="L90" t="s">
        <v>252</v>
      </c>
    </row>
    <row r="91" spans="2:12" x14ac:dyDescent="0.3">
      <c r="B91" t="s">
        <v>23</v>
      </c>
      <c r="C91">
        <v>3.9771999999999998</v>
      </c>
      <c r="D91">
        <v>5.9568000000000003</v>
      </c>
      <c r="E91">
        <v>20.494199999999999</v>
      </c>
      <c r="F91">
        <v>20.175699999999999</v>
      </c>
      <c r="G91">
        <v>20.229600000000001</v>
      </c>
      <c r="H91">
        <v>30.3262</v>
      </c>
      <c r="I91">
        <v>30.889099999999999</v>
      </c>
      <c r="J91">
        <v>1</v>
      </c>
      <c r="K91" t="s">
        <v>136</v>
      </c>
      <c r="L91" t="s">
        <v>256</v>
      </c>
    </row>
    <row r="92" spans="2:12" x14ac:dyDescent="0.3">
      <c r="B92" t="s">
        <v>23</v>
      </c>
      <c r="C92">
        <v>3.9927999999999999</v>
      </c>
      <c r="D92">
        <v>5.9192</v>
      </c>
      <c r="E92">
        <v>20.291399999999999</v>
      </c>
      <c r="F92">
        <v>19.962900000000001</v>
      </c>
      <c r="G92">
        <v>20.082100000000001</v>
      </c>
      <c r="H92">
        <v>29.826699999999999</v>
      </c>
      <c r="I92">
        <v>30.454999999999998</v>
      </c>
      <c r="J92">
        <v>1</v>
      </c>
      <c r="K92" t="s">
        <v>136</v>
      </c>
      <c r="L92" t="s">
        <v>268</v>
      </c>
    </row>
    <row r="93" spans="2:12" x14ac:dyDescent="0.3">
      <c r="B93" t="s">
        <v>23</v>
      </c>
      <c r="C93">
        <v>3.8574999999999999</v>
      </c>
      <c r="D93">
        <v>5.9157000000000002</v>
      </c>
      <c r="E93">
        <v>20.291699999999999</v>
      </c>
      <c r="F93">
        <v>19.986799999999999</v>
      </c>
      <c r="G93">
        <v>20.165700000000001</v>
      </c>
      <c r="H93">
        <v>29.891400000000001</v>
      </c>
      <c r="I93">
        <v>30.611599999999999</v>
      </c>
      <c r="J93">
        <v>1</v>
      </c>
      <c r="K93" t="s">
        <v>136</v>
      </c>
      <c r="L93" t="s">
        <v>280</v>
      </c>
    </row>
    <row r="94" spans="2:12" x14ac:dyDescent="0.3">
      <c r="B94" t="s">
        <v>23</v>
      </c>
      <c r="C94">
        <v>4.1481000000000003</v>
      </c>
      <c r="D94">
        <v>5.9524999999999997</v>
      </c>
      <c r="E94">
        <v>20.161999999999999</v>
      </c>
      <c r="F94">
        <v>20.0623</v>
      </c>
      <c r="G94">
        <v>20.252600000000001</v>
      </c>
      <c r="H94">
        <v>30.0654</v>
      </c>
      <c r="I94">
        <v>30.831</v>
      </c>
      <c r="J94">
        <v>1</v>
      </c>
      <c r="K94" t="s">
        <v>136</v>
      </c>
      <c r="L94" t="s">
        <v>294</v>
      </c>
    </row>
    <row r="95" spans="2:12" x14ac:dyDescent="0.3">
      <c r="B95" t="s">
        <v>23</v>
      </c>
      <c r="C95">
        <v>4.0327000000000002</v>
      </c>
      <c r="D95">
        <v>5.968</v>
      </c>
      <c r="E95">
        <v>20.434000000000001</v>
      </c>
      <c r="F95">
        <v>20.0137</v>
      </c>
      <c r="G95">
        <v>20.188700000000001</v>
      </c>
      <c r="H95">
        <v>30.068000000000001</v>
      </c>
      <c r="I95">
        <v>30.843399999999999</v>
      </c>
      <c r="J95">
        <v>1</v>
      </c>
      <c r="K95" t="s">
        <v>136</v>
      </c>
      <c r="L95" t="s">
        <v>305</v>
      </c>
    </row>
    <row r="96" spans="2:12" x14ac:dyDescent="0.3">
      <c r="B96" t="s">
        <v>23</v>
      </c>
      <c r="C96">
        <v>4.0133999999999999</v>
      </c>
      <c r="D96">
        <v>5.9955999999999996</v>
      </c>
      <c r="E96">
        <v>20.2773</v>
      </c>
      <c r="F96">
        <v>20.1676</v>
      </c>
      <c r="G96">
        <v>20.2666</v>
      </c>
      <c r="H96">
        <v>30.055800000000001</v>
      </c>
      <c r="I96">
        <v>30.758600000000001</v>
      </c>
      <c r="J96">
        <v>1</v>
      </c>
      <c r="K96" t="s">
        <v>136</v>
      </c>
      <c r="L96" t="s">
        <v>318</v>
      </c>
    </row>
    <row r="97" spans="2:12" x14ac:dyDescent="0.3">
      <c r="B97" t="s">
        <v>23</v>
      </c>
      <c r="C97">
        <v>4.0208000000000004</v>
      </c>
      <c r="D97">
        <v>5.9805999999999999</v>
      </c>
      <c r="E97">
        <v>20.964600000000001</v>
      </c>
      <c r="F97">
        <v>20.067799999999998</v>
      </c>
      <c r="G97">
        <v>20.050699999999999</v>
      </c>
      <c r="H97">
        <v>29.7483</v>
      </c>
      <c r="I97">
        <v>30.982600000000001</v>
      </c>
      <c r="J97">
        <v>1</v>
      </c>
      <c r="K97" t="s">
        <v>136</v>
      </c>
      <c r="L97" t="s">
        <v>323</v>
      </c>
    </row>
    <row r="98" spans="2:12" x14ac:dyDescent="0.3">
      <c r="B98" t="s">
        <v>23</v>
      </c>
      <c r="C98">
        <v>3.9860000000000002</v>
      </c>
      <c r="D98">
        <v>5.9256000000000002</v>
      </c>
      <c r="E98">
        <v>20.221699999999998</v>
      </c>
      <c r="F98">
        <v>20.061199999999999</v>
      </c>
      <c r="G98">
        <v>19.969100000000001</v>
      </c>
      <c r="H98">
        <v>29.589700000000001</v>
      </c>
      <c r="I98">
        <v>30.798300000000001</v>
      </c>
      <c r="J98">
        <v>1</v>
      </c>
      <c r="K98" t="s">
        <v>136</v>
      </c>
      <c r="L98" t="s">
        <v>324</v>
      </c>
    </row>
    <row r="99" spans="2:12" x14ac:dyDescent="0.3">
      <c r="B99" t="s">
        <v>23</v>
      </c>
      <c r="C99">
        <v>3.9885000000000002</v>
      </c>
      <c r="D99">
        <v>5.923</v>
      </c>
      <c r="E99">
        <v>20.593399999999999</v>
      </c>
      <c r="F99">
        <v>20.017499999999998</v>
      </c>
      <c r="G99">
        <v>20.081399999999999</v>
      </c>
      <c r="H99">
        <v>29.699100000000001</v>
      </c>
      <c r="I99">
        <v>30.6281</v>
      </c>
      <c r="J99">
        <v>1</v>
      </c>
      <c r="K99" t="s">
        <v>136</v>
      </c>
      <c r="L99" t="s">
        <v>333</v>
      </c>
    </row>
    <row r="100" spans="2:12" x14ac:dyDescent="0.3">
      <c r="B100" t="s">
        <v>23</v>
      </c>
      <c r="C100">
        <v>3.9963000000000002</v>
      </c>
      <c r="D100">
        <v>5.9203000000000001</v>
      </c>
      <c r="E100">
        <v>20.526599999999998</v>
      </c>
      <c r="F100">
        <v>20.091200000000001</v>
      </c>
      <c r="G100">
        <v>19.9648</v>
      </c>
      <c r="H100">
        <v>29.276</v>
      </c>
      <c r="I100">
        <v>30.5365</v>
      </c>
      <c r="J100">
        <v>1</v>
      </c>
      <c r="K100" t="s">
        <v>136</v>
      </c>
      <c r="L100" t="s">
        <v>346</v>
      </c>
    </row>
    <row r="101" spans="2:12" x14ac:dyDescent="0.3">
      <c r="B101" t="s">
        <v>23</v>
      </c>
      <c r="C101">
        <v>3.9447999999999999</v>
      </c>
      <c r="D101">
        <v>5.8754999999999997</v>
      </c>
      <c r="E101">
        <v>20.503699999999998</v>
      </c>
      <c r="F101">
        <v>20.066800000000001</v>
      </c>
      <c r="G101">
        <v>20.168800000000001</v>
      </c>
      <c r="H101">
        <v>29.7195</v>
      </c>
      <c r="I101">
        <v>30.452100000000002</v>
      </c>
      <c r="J101">
        <v>1</v>
      </c>
      <c r="K101" t="s">
        <v>136</v>
      </c>
      <c r="L101" t="s">
        <v>358</v>
      </c>
    </row>
    <row r="102" spans="2:12" x14ac:dyDescent="0.3">
      <c r="B102" t="s">
        <v>23</v>
      </c>
      <c r="C102">
        <v>4.1280999999999999</v>
      </c>
      <c r="D102">
        <v>6.0913000000000004</v>
      </c>
      <c r="E102">
        <v>20.604399999999998</v>
      </c>
      <c r="F102">
        <v>20.547699999999999</v>
      </c>
      <c r="G102">
        <v>20.712599999999998</v>
      </c>
      <c r="H102">
        <v>29.863800000000001</v>
      </c>
      <c r="I102">
        <v>31.009599999999999</v>
      </c>
      <c r="J102">
        <v>1</v>
      </c>
      <c r="K102" t="s">
        <v>136</v>
      </c>
      <c r="L102" t="s">
        <v>359</v>
      </c>
    </row>
    <row r="103" spans="2:12" x14ac:dyDescent="0.3">
      <c r="B103" t="s">
        <v>23</v>
      </c>
      <c r="C103">
        <v>4.0144000000000002</v>
      </c>
      <c r="D103">
        <v>5.9378000000000002</v>
      </c>
      <c r="E103">
        <v>20.2073</v>
      </c>
      <c r="F103">
        <v>19.919799999999999</v>
      </c>
      <c r="G103">
        <v>20.149699999999999</v>
      </c>
      <c r="H103">
        <v>29.817900000000002</v>
      </c>
      <c r="I103">
        <v>30.598400000000002</v>
      </c>
      <c r="J103">
        <v>1</v>
      </c>
      <c r="K103" t="s">
        <v>136</v>
      </c>
      <c r="L103" t="s">
        <v>372</v>
      </c>
    </row>
    <row r="104" spans="2:12" x14ac:dyDescent="0.3">
      <c r="B104" t="s">
        <v>23</v>
      </c>
      <c r="C104" t="s">
        <v>135</v>
      </c>
      <c r="D104" t="s">
        <v>135</v>
      </c>
      <c r="E104" t="s">
        <v>135</v>
      </c>
      <c r="F104" t="s">
        <v>135</v>
      </c>
      <c r="G104" t="s">
        <v>135</v>
      </c>
      <c r="H104" t="s">
        <v>135</v>
      </c>
      <c r="I104" t="s">
        <v>135</v>
      </c>
      <c r="J104">
        <v>1</v>
      </c>
      <c r="K104" t="s">
        <v>136</v>
      </c>
      <c r="L104" t="s">
        <v>383</v>
      </c>
    </row>
    <row r="105" spans="2:12" x14ac:dyDescent="0.3">
      <c r="B105" t="s">
        <v>23</v>
      </c>
      <c r="C105" t="s">
        <v>135</v>
      </c>
      <c r="D105" t="s">
        <v>135</v>
      </c>
      <c r="E105" t="s">
        <v>135</v>
      </c>
      <c r="F105" t="s">
        <v>135</v>
      </c>
      <c r="G105" t="s">
        <v>135</v>
      </c>
      <c r="H105" t="s">
        <v>135</v>
      </c>
      <c r="I105" t="s">
        <v>135</v>
      </c>
      <c r="J105">
        <v>1</v>
      </c>
      <c r="K105" t="s">
        <v>136</v>
      </c>
      <c r="L105" t="s">
        <v>396</v>
      </c>
    </row>
    <row r="106" spans="2:12" x14ac:dyDescent="0.3">
      <c r="B106" t="s">
        <v>23</v>
      </c>
      <c r="C106" t="s">
        <v>135</v>
      </c>
      <c r="D106" t="s">
        <v>135</v>
      </c>
      <c r="E106" t="s">
        <v>135</v>
      </c>
      <c r="F106" t="s">
        <v>135</v>
      </c>
      <c r="G106" t="s">
        <v>135</v>
      </c>
      <c r="H106" t="s">
        <v>135</v>
      </c>
      <c r="I106" t="s">
        <v>135</v>
      </c>
      <c r="J106">
        <v>1</v>
      </c>
      <c r="K106" t="s">
        <v>136</v>
      </c>
      <c r="L106" t="s">
        <v>398</v>
      </c>
    </row>
    <row r="107" spans="2:12" x14ac:dyDescent="0.3">
      <c r="B107" t="s">
        <v>23</v>
      </c>
      <c r="C107" t="s">
        <v>135</v>
      </c>
      <c r="D107" t="s">
        <v>135</v>
      </c>
      <c r="E107" t="s">
        <v>135</v>
      </c>
      <c r="F107" t="s">
        <v>135</v>
      </c>
      <c r="G107" t="s">
        <v>135</v>
      </c>
      <c r="H107" t="s">
        <v>135</v>
      </c>
      <c r="I107" t="s">
        <v>135</v>
      </c>
      <c r="J107">
        <v>1</v>
      </c>
      <c r="K107" t="s">
        <v>136</v>
      </c>
      <c r="L107" t="s">
        <v>399</v>
      </c>
    </row>
    <row r="108" spans="2:12" x14ac:dyDescent="0.3">
      <c r="B108" t="s">
        <v>23</v>
      </c>
      <c r="C108" t="s">
        <v>135</v>
      </c>
      <c r="D108" t="s">
        <v>135</v>
      </c>
      <c r="E108" t="s">
        <v>135</v>
      </c>
      <c r="F108" t="s">
        <v>135</v>
      </c>
      <c r="G108" t="s">
        <v>135</v>
      </c>
      <c r="H108" t="s">
        <v>135</v>
      </c>
      <c r="I108" t="s">
        <v>135</v>
      </c>
      <c r="J108">
        <v>1</v>
      </c>
      <c r="K108" t="s">
        <v>136</v>
      </c>
      <c r="L108" t="s">
        <v>412</v>
      </c>
    </row>
    <row r="109" spans="2:12" x14ac:dyDescent="0.3">
      <c r="B109" t="s">
        <v>23</v>
      </c>
      <c r="C109" t="s">
        <v>135</v>
      </c>
      <c r="D109" t="s">
        <v>135</v>
      </c>
      <c r="E109" t="s">
        <v>135</v>
      </c>
      <c r="F109" t="s">
        <v>135</v>
      </c>
      <c r="G109" t="s">
        <v>135</v>
      </c>
      <c r="H109" t="s">
        <v>135</v>
      </c>
      <c r="I109" t="s">
        <v>135</v>
      </c>
      <c r="J109">
        <v>1</v>
      </c>
      <c r="K109" t="s">
        <v>136</v>
      </c>
      <c r="L109" t="s">
        <v>423</v>
      </c>
    </row>
    <row r="110" spans="2:12" x14ac:dyDescent="0.3">
      <c r="B110" t="s">
        <v>23</v>
      </c>
      <c r="C110" t="s">
        <v>135</v>
      </c>
      <c r="D110" t="s">
        <v>135</v>
      </c>
      <c r="E110" t="s">
        <v>135</v>
      </c>
      <c r="F110" t="s">
        <v>135</v>
      </c>
      <c r="G110" t="s">
        <v>135</v>
      </c>
      <c r="H110" t="s">
        <v>135</v>
      </c>
      <c r="I110" t="s">
        <v>135</v>
      </c>
      <c r="J110">
        <v>1</v>
      </c>
      <c r="K110" t="s">
        <v>136</v>
      </c>
      <c r="L110" t="s">
        <v>436</v>
      </c>
    </row>
    <row r="111" spans="2:12" x14ac:dyDescent="0.3">
      <c r="B111" t="s">
        <v>23</v>
      </c>
      <c r="C111">
        <v>4.0605000000000002</v>
      </c>
      <c r="D111">
        <v>6.0582000000000003</v>
      </c>
      <c r="E111">
        <v>20.788</v>
      </c>
      <c r="F111">
        <v>20.8032</v>
      </c>
      <c r="G111">
        <v>20.8809</v>
      </c>
      <c r="H111">
        <v>30.277000000000001</v>
      </c>
      <c r="I111">
        <v>31.089700000000001</v>
      </c>
      <c r="J111">
        <v>1</v>
      </c>
      <c r="K111" t="s">
        <v>136</v>
      </c>
      <c r="L111" t="s">
        <v>437</v>
      </c>
    </row>
    <row r="112" spans="2:12" x14ac:dyDescent="0.3">
      <c r="B112" t="s">
        <v>23</v>
      </c>
      <c r="C112">
        <v>4.1696999999999997</v>
      </c>
      <c r="D112">
        <v>6.0932000000000004</v>
      </c>
      <c r="E112">
        <v>21.013500000000001</v>
      </c>
      <c r="F112">
        <v>20.610399999999998</v>
      </c>
      <c r="G112">
        <v>20.867699999999999</v>
      </c>
      <c r="H112">
        <v>31.925899999999999</v>
      </c>
      <c r="I112">
        <v>32.167200000000001</v>
      </c>
      <c r="J112">
        <v>1</v>
      </c>
      <c r="K112" t="s">
        <v>136</v>
      </c>
      <c r="L112" t="s">
        <v>450</v>
      </c>
    </row>
    <row r="113" spans="2:12" x14ac:dyDescent="0.3">
      <c r="B113" t="s">
        <v>23</v>
      </c>
      <c r="C113">
        <v>3.9621</v>
      </c>
      <c r="D113">
        <v>5.8741000000000003</v>
      </c>
      <c r="E113">
        <v>20.421900000000001</v>
      </c>
      <c r="F113">
        <v>19.8445</v>
      </c>
      <c r="G113">
        <v>20.208300000000001</v>
      </c>
      <c r="H113">
        <v>29.581700000000001</v>
      </c>
      <c r="I113">
        <v>30.728300000000001</v>
      </c>
      <c r="J113">
        <v>1</v>
      </c>
      <c r="K113" t="s">
        <v>136</v>
      </c>
      <c r="L113" t="s">
        <v>454</v>
      </c>
    </row>
    <row r="114" spans="2:12" x14ac:dyDescent="0.3">
      <c r="B114" t="s">
        <v>94</v>
      </c>
      <c r="C114" t="s">
        <v>135</v>
      </c>
      <c r="D114">
        <v>4.3586</v>
      </c>
      <c r="E114" t="s">
        <v>135</v>
      </c>
      <c r="F114" t="s">
        <v>135</v>
      </c>
      <c r="G114" t="s">
        <v>135</v>
      </c>
      <c r="H114" t="s">
        <v>135</v>
      </c>
      <c r="I114">
        <v>0.28120000000000001</v>
      </c>
      <c r="J114">
        <v>1</v>
      </c>
      <c r="L114" t="s">
        <v>317</v>
      </c>
    </row>
    <row r="115" spans="2:12" x14ac:dyDescent="0.3">
      <c r="B115" t="s">
        <v>94</v>
      </c>
      <c r="C115">
        <v>3.2099999999999997E-2</v>
      </c>
      <c r="D115">
        <v>4.2263000000000002</v>
      </c>
      <c r="E115" t="s">
        <v>135</v>
      </c>
      <c r="F115" t="s">
        <v>135</v>
      </c>
      <c r="G115" t="s">
        <v>135</v>
      </c>
      <c r="H115" t="s">
        <v>135</v>
      </c>
      <c r="I115">
        <v>0.33879999999999999</v>
      </c>
      <c r="J115">
        <v>1</v>
      </c>
      <c r="L115" t="s">
        <v>443</v>
      </c>
    </row>
    <row r="116" spans="2:12" x14ac:dyDescent="0.3">
      <c r="B116" t="s">
        <v>93</v>
      </c>
      <c r="C116">
        <v>4.4699999999999997E-2</v>
      </c>
      <c r="D116">
        <v>4.3300999999999998</v>
      </c>
      <c r="E116" t="s">
        <v>135</v>
      </c>
      <c r="F116" t="s">
        <v>135</v>
      </c>
      <c r="G116" t="s">
        <v>135</v>
      </c>
      <c r="H116" t="s">
        <v>135</v>
      </c>
      <c r="I116">
        <v>0.53190000000000004</v>
      </c>
      <c r="J116">
        <v>1</v>
      </c>
      <c r="L116" t="s">
        <v>316</v>
      </c>
    </row>
    <row r="117" spans="2:12" x14ac:dyDescent="0.3">
      <c r="B117" t="s">
        <v>93</v>
      </c>
      <c r="C117">
        <v>3.1899999999999998E-2</v>
      </c>
      <c r="D117">
        <v>4.4181999999999997</v>
      </c>
      <c r="E117" t="s">
        <v>135</v>
      </c>
      <c r="F117" t="s">
        <v>135</v>
      </c>
      <c r="G117" t="s">
        <v>135</v>
      </c>
      <c r="H117" t="s">
        <v>135</v>
      </c>
      <c r="I117">
        <v>0.56789999999999996</v>
      </c>
      <c r="J117">
        <v>1</v>
      </c>
      <c r="L117" t="s">
        <v>440</v>
      </c>
    </row>
    <row r="118" spans="2:12" x14ac:dyDescent="0.3">
      <c r="B118" t="s">
        <v>202</v>
      </c>
      <c r="C118">
        <v>1.9710000000000001</v>
      </c>
      <c r="D118">
        <v>7.0926999999999998</v>
      </c>
      <c r="E118">
        <v>10.3553</v>
      </c>
      <c r="F118">
        <v>9.8765999999999998</v>
      </c>
      <c r="G118">
        <v>9.8980999999999995</v>
      </c>
      <c r="H118">
        <v>14.848100000000001</v>
      </c>
      <c r="I118">
        <v>15.8512</v>
      </c>
      <c r="J118">
        <v>1</v>
      </c>
      <c r="K118" t="s">
        <v>194</v>
      </c>
      <c r="L118" t="s">
        <v>441</v>
      </c>
    </row>
    <row r="119" spans="2:12" x14ac:dyDescent="0.3">
      <c r="B119" t="s">
        <v>199</v>
      </c>
      <c r="C119">
        <v>1.9572000000000001</v>
      </c>
      <c r="D119">
        <v>7.0362999999999998</v>
      </c>
      <c r="E119">
        <v>10.1378</v>
      </c>
      <c r="F119">
        <v>9.8844999999999992</v>
      </c>
      <c r="G119">
        <v>9.8762000000000008</v>
      </c>
      <c r="H119">
        <v>14.8352</v>
      </c>
      <c r="I119">
        <v>15.918200000000001</v>
      </c>
      <c r="J119">
        <v>1</v>
      </c>
      <c r="K119" t="s">
        <v>194</v>
      </c>
      <c r="L119" t="s">
        <v>442</v>
      </c>
    </row>
    <row r="120" spans="2:12" x14ac:dyDescent="0.3">
      <c r="B120" t="s">
        <v>200</v>
      </c>
      <c r="C120" t="s">
        <v>135</v>
      </c>
      <c r="D120" t="s">
        <v>135</v>
      </c>
      <c r="E120" t="s">
        <v>135</v>
      </c>
      <c r="F120" t="s">
        <v>135</v>
      </c>
      <c r="G120" t="s">
        <v>135</v>
      </c>
      <c r="H120" t="s">
        <v>135</v>
      </c>
      <c r="I120" t="s">
        <v>135</v>
      </c>
      <c r="J120">
        <v>1</v>
      </c>
      <c r="L120" t="s">
        <v>444</v>
      </c>
    </row>
    <row r="121" spans="2:12" x14ac:dyDescent="0.3">
      <c r="B121" t="s">
        <v>88</v>
      </c>
      <c r="C121" t="s">
        <v>135</v>
      </c>
      <c r="D121" t="s">
        <v>135</v>
      </c>
      <c r="E121" t="s">
        <v>135</v>
      </c>
      <c r="F121" t="s">
        <v>135</v>
      </c>
      <c r="G121" t="s">
        <v>135</v>
      </c>
      <c r="H121" t="s">
        <v>135</v>
      </c>
      <c r="I121" t="s">
        <v>135</v>
      </c>
      <c r="J121">
        <v>1</v>
      </c>
      <c r="L121" t="s">
        <v>311</v>
      </c>
    </row>
    <row r="122" spans="2:12" x14ac:dyDescent="0.3">
      <c r="B122" t="s">
        <v>32</v>
      </c>
      <c r="C122">
        <v>0.27739999999999998</v>
      </c>
      <c r="D122">
        <v>20.8416</v>
      </c>
      <c r="E122" t="s">
        <v>135</v>
      </c>
      <c r="F122" t="s">
        <v>135</v>
      </c>
      <c r="G122">
        <v>0.1988</v>
      </c>
      <c r="H122">
        <v>0.62780000000000002</v>
      </c>
      <c r="I122" t="s">
        <v>135</v>
      </c>
      <c r="J122">
        <v>1</v>
      </c>
      <c r="L122" t="s">
        <v>232</v>
      </c>
    </row>
    <row r="123" spans="2:12" x14ac:dyDescent="0.3">
      <c r="B123" t="s">
        <v>73</v>
      </c>
      <c r="C123" t="s">
        <v>135</v>
      </c>
      <c r="D123">
        <v>18.2913</v>
      </c>
      <c r="E123" t="s">
        <v>135</v>
      </c>
      <c r="F123" t="s">
        <v>135</v>
      </c>
      <c r="G123" t="s">
        <v>135</v>
      </c>
      <c r="H123" t="s">
        <v>135</v>
      </c>
      <c r="I123">
        <v>630.4837</v>
      </c>
      <c r="J123">
        <v>20</v>
      </c>
      <c r="L123" t="s">
        <v>292</v>
      </c>
    </row>
    <row r="124" spans="2:12" x14ac:dyDescent="0.3">
      <c r="B124" t="s">
        <v>31</v>
      </c>
      <c r="C124">
        <v>0.26769999999999999</v>
      </c>
      <c r="D124">
        <v>21.133099999999999</v>
      </c>
      <c r="E124" t="s">
        <v>135</v>
      </c>
      <c r="F124" t="s">
        <v>135</v>
      </c>
      <c r="G124" t="s">
        <v>135</v>
      </c>
      <c r="H124" t="s">
        <v>135</v>
      </c>
      <c r="I124" t="s">
        <v>135</v>
      </c>
      <c r="J124">
        <v>1</v>
      </c>
      <c r="L124" t="s">
        <v>231</v>
      </c>
    </row>
    <row r="125" spans="2:12" x14ac:dyDescent="0.3">
      <c r="B125" t="s">
        <v>72</v>
      </c>
      <c r="C125" t="s">
        <v>135</v>
      </c>
      <c r="D125">
        <v>18.881499999999999</v>
      </c>
      <c r="E125" t="s">
        <v>135</v>
      </c>
      <c r="F125" t="s">
        <v>135</v>
      </c>
      <c r="G125" t="s">
        <v>135</v>
      </c>
      <c r="H125" t="s">
        <v>135</v>
      </c>
      <c r="I125">
        <v>663.59119999999996</v>
      </c>
      <c r="J125">
        <v>20</v>
      </c>
      <c r="L125" t="s">
        <v>291</v>
      </c>
    </row>
    <row r="126" spans="2:12" x14ac:dyDescent="0.3">
      <c r="B126" t="s">
        <v>37</v>
      </c>
      <c r="C126">
        <v>0.38169999999999998</v>
      </c>
      <c r="D126">
        <v>10.154500000000001</v>
      </c>
      <c r="E126" t="s">
        <v>135</v>
      </c>
      <c r="F126" t="s">
        <v>135</v>
      </c>
      <c r="G126" t="s">
        <v>135</v>
      </c>
      <c r="H126" t="s">
        <v>135</v>
      </c>
      <c r="I126">
        <v>18.596499999999999</v>
      </c>
      <c r="J126">
        <v>1</v>
      </c>
      <c r="L126" t="s">
        <v>240</v>
      </c>
    </row>
    <row r="127" spans="2:12" x14ac:dyDescent="0.3">
      <c r="B127" t="s">
        <v>47</v>
      </c>
      <c r="C127">
        <v>0.35399999999999998</v>
      </c>
      <c r="D127">
        <v>9.1532999999999998</v>
      </c>
      <c r="E127" t="s">
        <v>135</v>
      </c>
      <c r="F127" t="s">
        <v>135</v>
      </c>
      <c r="G127" t="s">
        <v>135</v>
      </c>
      <c r="H127" t="s">
        <v>135</v>
      </c>
      <c r="I127">
        <v>38.712299999999999</v>
      </c>
      <c r="J127">
        <v>1</v>
      </c>
      <c r="L127" t="s">
        <v>251</v>
      </c>
    </row>
    <row r="128" spans="2:12" x14ac:dyDescent="0.3">
      <c r="B128" t="s">
        <v>46</v>
      </c>
      <c r="C128">
        <v>0.2999</v>
      </c>
      <c r="D128">
        <v>9.8872999999999998</v>
      </c>
      <c r="E128" t="s">
        <v>135</v>
      </c>
      <c r="F128" t="s">
        <v>135</v>
      </c>
      <c r="G128" t="s">
        <v>135</v>
      </c>
      <c r="H128" t="s">
        <v>135</v>
      </c>
      <c r="I128">
        <v>32.371400000000001</v>
      </c>
      <c r="J128">
        <v>1</v>
      </c>
      <c r="L128" t="s">
        <v>250</v>
      </c>
    </row>
    <row r="129" spans="2:12" x14ac:dyDescent="0.3">
      <c r="B129" t="s">
        <v>34</v>
      </c>
      <c r="C129">
        <v>0.40160000000000001</v>
      </c>
      <c r="D129">
        <v>9.7456999999999994</v>
      </c>
      <c r="E129" t="s">
        <v>135</v>
      </c>
      <c r="F129" t="s">
        <v>135</v>
      </c>
      <c r="G129">
        <v>0.128</v>
      </c>
      <c r="H129" t="s">
        <v>135</v>
      </c>
      <c r="I129">
        <v>36.47</v>
      </c>
      <c r="J129">
        <v>1</v>
      </c>
      <c r="L129" t="s">
        <v>237</v>
      </c>
    </row>
    <row r="130" spans="2:12" x14ac:dyDescent="0.3">
      <c r="B130" t="s">
        <v>35</v>
      </c>
      <c r="C130">
        <v>2.2942</v>
      </c>
      <c r="D130">
        <v>11.9474</v>
      </c>
      <c r="E130">
        <v>10.1442</v>
      </c>
      <c r="F130">
        <v>9.7024000000000008</v>
      </c>
      <c r="G130">
        <v>9.8842999999999996</v>
      </c>
      <c r="H130">
        <v>14.9543</v>
      </c>
      <c r="I130">
        <v>42.187399999999997</v>
      </c>
      <c r="J130">
        <v>1</v>
      </c>
      <c r="K130" t="s">
        <v>139</v>
      </c>
      <c r="L130" t="s">
        <v>238</v>
      </c>
    </row>
    <row r="131" spans="2:12" x14ac:dyDescent="0.3">
      <c r="B131" t="s">
        <v>36</v>
      </c>
      <c r="C131">
        <v>2.3519000000000001</v>
      </c>
      <c r="D131">
        <v>12.189399999999999</v>
      </c>
      <c r="E131">
        <v>10.2597</v>
      </c>
      <c r="F131">
        <v>9.718</v>
      </c>
      <c r="G131">
        <v>9.9564000000000004</v>
      </c>
      <c r="H131">
        <v>14.9923</v>
      </c>
      <c r="I131">
        <v>42.196300000000001</v>
      </c>
      <c r="J131">
        <v>1</v>
      </c>
      <c r="K131" t="s">
        <v>139</v>
      </c>
      <c r="L131" t="s">
        <v>239</v>
      </c>
    </row>
    <row r="132" spans="2:12" x14ac:dyDescent="0.3">
      <c r="B132" t="s">
        <v>33</v>
      </c>
      <c r="C132">
        <v>0.4098</v>
      </c>
      <c r="D132">
        <v>10.0075</v>
      </c>
      <c r="E132" t="s">
        <v>135</v>
      </c>
      <c r="F132" t="s">
        <v>135</v>
      </c>
      <c r="G132">
        <v>0.13109999999999999</v>
      </c>
      <c r="H132" t="s">
        <v>135</v>
      </c>
      <c r="I132">
        <v>37.324599999999997</v>
      </c>
      <c r="J132">
        <v>1</v>
      </c>
      <c r="L132" t="s">
        <v>233</v>
      </c>
    </row>
    <row r="133" spans="2:12" x14ac:dyDescent="0.3">
      <c r="B133" t="s">
        <v>28</v>
      </c>
      <c r="C133" t="s">
        <v>135</v>
      </c>
      <c r="D133">
        <v>0.31630000000000003</v>
      </c>
      <c r="E133" t="s">
        <v>135</v>
      </c>
      <c r="F133" t="s">
        <v>135</v>
      </c>
      <c r="G133" t="s">
        <v>135</v>
      </c>
      <c r="H133" t="s">
        <v>135</v>
      </c>
      <c r="I133">
        <v>0.2482</v>
      </c>
      <c r="J133">
        <v>1</v>
      </c>
      <c r="L133" t="s">
        <v>228</v>
      </c>
    </row>
    <row r="134" spans="2:12" x14ac:dyDescent="0.3">
      <c r="B134" t="s">
        <v>26</v>
      </c>
      <c r="C134">
        <v>0.3468</v>
      </c>
      <c r="D134">
        <v>12.0273</v>
      </c>
      <c r="E134" t="s">
        <v>135</v>
      </c>
      <c r="F134" t="s">
        <v>135</v>
      </c>
      <c r="G134" t="s">
        <v>135</v>
      </c>
      <c r="H134" t="s">
        <v>135</v>
      </c>
      <c r="I134" t="s">
        <v>135</v>
      </c>
      <c r="J134">
        <v>1</v>
      </c>
      <c r="L134" t="s">
        <v>225</v>
      </c>
    </row>
    <row r="135" spans="2:12" x14ac:dyDescent="0.3">
      <c r="B135" t="s">
        <v>68</v>
      </c>
      <c r="C135">
        <v>0.22550000000000001</v>
      </c>
      <c r="D135">
        <v>5.0541999999999998</v>
      </c>
      <c r="E135" t="s">
        <v>135</v>
      </c>
      <c r="F135" t="s">
        <v>135</v>
      </c>
      <c r="G135" t="s">
        <v>135</v>
      </c>
      <c r="H135" t="s">
        <v>135</v>
      </c>
      <c r="I135">
        <v>140.09649999999999</v>
      </c>
      <c r="J135">
        <v>10</v>
      </c>
      <c r="L135" t="s">
        <v>284</v>
      </c>
    </row>
    <row r="136" spans="2:12" x14ac:dyDescent="0.3">
      <c r="B136" t="s">
        <v>196</v>
      </c>
      <c r="C136">
        <v>19.561299999999999</v>
      </c>
      <c r="D136">
        <v>34.046999999999997</v>
      </c>
      <c r="E136">
        <v>103.26649999999999</v>
      </c>
      <c r="F136">
        <v>98.367000000000004</v>
      </c>
      <c r="G136">
        <v>98.721100000000007</v>
      </c>
      <c r="H136">
        <v>151.5684</v>
      </c>
      <c r="I136">
        <v>295.38040000000001</v>
      </c>
      <c r="J136">
        <v>10</v>
      </c>
      <c r="K136" t="s">
        <v>141</v>
      </c>
      <c r="L136" t="s">
        <v>285</v>
      </c>
    </row>
    <row r="137" spans="2:12" x14ac:dyDescent="0.3">
      <c r="B137" t="s">
        <v>197</v>
      </c>
      <c r="C137">
        <v>19.7668</v>
      </c>
      <c r="D137">
        <v>34.514899999999997</v>
      </c>
      <c r="E137">
        <v>103.4464</v>
      </c>
      <c r="F137">
        <v>98.361000000000004</v>
      </c>
      <c r="G137">
        <v>98.665199999999999</v>
      </c>
      <c r="H137">
        <v>150.45830000000001</v>
      </c>
      <c r="I137">
        <v>296.56959999999998</v>
      </c>
      <c r="J137">
        <v>10</v>
      </c>
      <c r="K137" t="s">
        <v>141</v>
      </c>
      <c r="L137" t="s">
        <v>286</v>
      </c>
    </row>
    <row r="138" spans="2:12" x14ac:dyDescent="0.3">
      <c r="B138" t="s">
        <v>25</v>
      </c>
      <c r="C138">
        <v>0.36409999999999998</v>
      </c>
      <c r="D138">
        <v>12.307399999999999</v>
      </c>
      <c r="E138" t="s">
        <v>135</v>
      </c>
      <c r="F138" t="s">
        <v>135</v>
      </c>
      <c r="G138">
        <v>0.6633</v>
      </c>
      <c r="H138" t="s">
        <v>135</v>
      </c>
      <c r="I138" t="s">
        <v>135</v>
      </c>
      <c r="J138">
        <v>1</v>
      </c>
      <c r="L138" t="s">
        <v>226</v>
      </c>
    </row>
    <row r="139" spans="2:12" x14ac:dyDescent="0.3">
      <c r="B139" t="s">
        <v>67</v>
      </c>
      <c r="C139">
        <v>0.3695</v>
      </c>
      <c r="D139">
        <v>10.9491</v>
      </c>
      <c r="E139" t="s">
        <v>135</v>
      </c>
      <c r="F139" t="s">
        <v>135</v>
      </c>
      <c r="G139">
        <v>0.58979999999999999</v>
      </c>
      <c r="H139" t="s">
        <v>135</v>
      </c>
      <c r="I139">
        <v>265.75810000000001</v>
      </c>
      <c r="J139">
        <v>10</v>
      </c>
      <c r="L139" t="s">
        <v>287</v>
      </c>
    </row>
    <row r="140" spans="2:12" x14ac:dyDescent="0.3">
      <c r="B140" t="s">
        <v>27</v>
      </c>
      <c r="C140">
        <v>0.27079999999999999</v>
      </c>
      <c r="D140">
        <v>5.5674000000000001</v>
      </c>
      <c r="E140" t="s">
        <v>135</v>
      </c>
      <c r="F140" t="s">
        <v>135</v>
      </c>
      <c r="G140" t="s">
        <v>135</v>
      </c>
      <c r="H140" t="s">
        <v>135</v>
      </c>
      <c r="I140">
        <v>77.399199999999993</v>
      </c>
      <c r="J140">
        <v>1</v>
      </c>
      <c r="L140" t="s">
        <v>227</v>
      </c>
    </row>
    <row r="141" spans="2:12" x14ac:dyDescent="0.3">
      <c r="B141" t="s">
        <v>69</v>
      </c>
      <c r="C141">
        <v>0.29920000000000002</v>
      </c>
      <c r="D141">
        <v>10.4918</v>
      </c>
      <c r="E141" t="s">
        <v>135</v>
      </c>
      <c r="F141" t="s">
        <v>135</v>
      </c>
      <c r="G141" t="s">
        <v>135</v>
      </c>
      <c r="H141" t="s">
        <v>135</v>
      </c>
      <c r="I141">
        <v>259.88080000000002</v>
      </c>
      <c r="J141">
        <v>10</v>
      </c>
      <c r="L141" t="s">
        <v>288</v>
      </c>
    </row>
    <row r="142" spans="2:12" x14ac:dyDescent="0.3">
      <c r="B142" t="s">
        <v>30</v>
      </c>
      <c r="C142">
        <v>0.36399999999999999</v>
      </c>
      <c r="D142">
        <v>11.661899999999999</v>
      </c>
      <c r="E142" t="s">
        <v>135</v>
      </c>
      <c r="F142" t="s">
        <v>135</v>
      </c>
      <c r="G142" t="s">
        <v>135</v>
      </c>
      <c r="H142" t="s">
        <v>135</v>
      </c>
      <c r="I142" t="s">
        <v>135</v>
      </c>
      <c r="J142">
        <v>1</v>
      </c>
      <c r="L142" t="s">
        <v>230</v>
      </c>
    </row>
    <row r="143" spans="2:12" x14ac:dyDescent="0.3">
      <c r="B143" t="s">
        <v>71</v>
      </c>
      <c r="C143">
        <v>0.377</v>
      </c>
      <c r="D143">
        <v>10.089399999999999</v>
      </c>
      <c r="E143" t="s">
        <v>135</v>
      </c>
      <c r="F143" t="s">
        <v>135</v>
      </c>
      <c r="G143" t="s">
        <v>135</v>
      </c>
      <c r="H143" t="s">
        <v>135</v>
      </c>
      <c r="I143">
        <v>247.42060000000001</v>
      </c>
      <c r="J143">
        <v>10</v>
      </c>
      <c r="L143" t="s">
        <v>290</v>
      </c>
    </row>
    <row r="144" spans="2:12" x14ac:dyDescent="0.3">
      <c r="B144" t="s">
        <v>29</v>
      </c>
      <c r="C144">
        <v>0.33700000000000002</v>
      </c>
      <c r="D144">
        <v>12.001200000000001</v>
      </c>
      <c r="E144" t="s">
        <v>135</v>
      </c>
      <c r="F144" t="s">
        <v>135</v>
      </c>
      <c r="G144" t="s">
        <v>135</v>
      </c>
      <c r="H144" t="s">
        <v>135</v>
      </c>
      <c r="I144" t="s">
        <v>135</v>
      </c>
      <c r="J144">
        <v>1</v>
      </c>
      <c r="L144" t="s">
        <v>229</v>
      </c>
    </row>
    <row r="145" spans="2:12" x14ac:dyDescent="0.3">
      <c r="B145" t="s">
        <v>70</v>
      </c>
      <c r="C145">
        <v>0.28489999999999999</v>
      </c>
      <c r="D145">
        <v>10.6029</v>
      </c>
      <c r="E145" t="s">
        <v>135</v>
      </c>
      <c r="F145" t="s">
        <v>135</v>
      </c>
      <c r="G145" t="s">
        <v>135</v>
      </c>
      <c r="H145" t="s">
        <v>135</v>
      </c>
      <c r="I145">
        <v>255.24019999999999</v>
      </c>
      <c r="J145">
        <v>10</v>
      </c>
      <c r="L145" t="s">
        <v>289</v>
      </c>
    </row>
    <row r="146" spans="2:12" x14ac:dyDescent="0.3">
      <c r="B146" t="s">
        <v>39</v>
      </c>
      <c r="C146">
        <v>0.20449999999999999</v>
      </c>
      <c r="D146">
        <v>36.651400000000002</v>
      </c>
      <c r="E146" t="s">
        <v>135</v>
      </c>
      <c r="F146">
        <v>0.16600000000000001</v>
      </c>
      <c r="G146" t="s">
        <v>135</v>
      </c>
      <c r="H146">
        <v>0.68479999999999996</v>
      </c>
      <c r="I146" t="s">
        <v>135</v>
      </c>
      <c r="J146">
        <v>1</v>
      </c>
      <c r="L146" t="s">
        <v>242</v>
      </c>
    </row>
    <row r="147" spans="2:12" x14ac:dyDescent="0.3">
      <c r="B147" t="s">
        <v>75</v>
      </c>
      <c r="C147" t="s">
        <v>135</v>
      </c>
      <c r="D147">
        <v>36.757399999999997</v>
      </c>
      <c r="E147" t="s">
        <v>135</v>
      </c>
      <c r="F147" t="s">
        <v>135</v>
      </c>
      <c r="G147" t="s">
        <v>135</v>
      </c>
      <c r="H147" t="s">
        <v>135</v>
      </c>
      <c r="I147">
        <v>2098.0677000000001</v>
      </c>
      <c r="J147">
        <v>200</v>
      </c>
      <c r="L147" t="s">
        <v>295</v>
      </c>
    </row>
    <row r="148" spans="2:12" x14ac:dyDescent="0.3">
      <c r="B148" t="s">
        <v>195</v>
      </c>
      <c r="C148" t="s">
        <v>135</v>
      </c>
      <c r="D148">
        <v>39.319299999999998</v>
      </c>
      <c r="E148" t="s">
        <v>135</v>
      </c>
      <c r="F148" t="s">
        <v>135</v>
      </c>
      <c r="G148" t="s">
        <v>135</v>
      </c>
      <c r="H148" t="s">
        <v>135</v>
      </c>
      <c r="I148">
        <v>2713.7636000000002</v>
      </c>
      <c r="J148">
        <v>50</v>
      </c>
      <c r="L148" t="s">
        <v>257</v>
      </c>
    </row>
    <row r="149" spans="2:12" x14ac:dyDescent="0.3">
      <c r="B149" t="s">
        <v>38</v>
      </c>
      <c r="C149">
        <v>0.1938</v>
      </c>
      <c r="D149">
        <v>36.968800000000002</v>
      </c>
      <c r="E149" t="s">
        <v>135</v>
      </c>
      <c r="F149">
        <v>0.1638</v>
      </c>
      <c r="G149" t="s">
        <v>135</v>
      </c>
      <c r="H149">
        <v>0.40389999999999998</v>
      </c>
      <c r="I149" t="s">
        <v>135</v>
      </c>
      <c r="J149">
        <v>1</v>
      </c>
      <c r="L149" t="s">
        <v>241</v>
      </c>
    </row>
    <row r="150" spans="2:12" x14ac:dyDescent="0.3">
      <c r="B150" t="s">
        <v>74</v>
      </c>
      <c r="C150" t="s">
        <v>135</v>
      </c>
      <c r="D150">
        <v>39.351999999999997</v>
      </c>
      <c r="E150" t="s">
        <v>135</v>
      </c>
      <c r="F150" t="s">
        <v>135</v>
      </c>
      <c r="G150" t="s">
        <v>135</v>
      </c>
      <c r="H150" t="s">
        <v>135</v>
      </c>
      <c r="I150">
        <v>2063.8989000000001</v>
      </c>
      <c r="J150">
        <v>200</v>
      </c>
      <c r="L150" t="s">
        <v>293</v>
      </c>
    </row>
    <row r="151" spans="2:12" x14ac:dyDescent="0.3">
      <c r="B151" t="s">
        <v>96</v>
      </c>
      <c r="C151">
        <v>3.6700000000000003E-2</v>
      </c>
      <c r="D151">
        <v>38.301900000000003</v>
      </c>
      <c r="E151" t="s">
        <v>135</v>
      </c>
      <c r="F151" t="s">
        <v>135</v>
      </c>
      <c r="G151" t="s">
        <v>135</v>
      </c>
      <c r="H151" t="s">
        <v>135</v>
      </c>
      <c r="I151">
        <v>1.0306999999999999</v>
      </c>
      <c r="J151">
        <v>1</v>
      </c>
      <c r="L151" t="s">
        <v>320</v>
      </c>
    </row>
    <row r="152" spans="2:12" x14ac:dyDescent="0.3">
      <c r="B152" t="s">
        <v>96</v>
      </c>
      <c r="C152">
        <v>3.6499999999999998E-2</v>
      </c>
      <c r="D152">
        <v>38.387700000000002</v>
      </c>
      <c r="E152" t="s">
        <v>135</v>
      </c>
      <c r="F152" t="s">
        <v>135</v>
      </c>
      <c r="G152" t="s">
        <v>135</v>
      </c>
      <c r="H152" t="s">
        <v>135</v>
      </c>
      <c r="I152">
        <v>1.7185999999999999</v>
      </c>
      <c r="J152">
        <v>1</v>
      </c>
      <c r="L152" t="s">
        <v>446</v>
      </c>
    </row>
    <row r="153" spans="2:12" x14ac:dyDescent="0.3">
      <c r="B153" t="s">
        <v>99</v>
      </c>
      <c r="C153">
        <v>3.2399999999999998E-2</v>
      </c>
      <c r="D153">
        <v>62.197699999999998</v>
      </c>
      <c r="E153" t="s">
        <v>135</v>
      </c>
      <c r="F153" t="s">
        <v>135</v>
      </c>
      <c r="G153" t="s">
        <v>135</v>
      </c>
      <c r="H153" t="s">
        <v>135</v>
      </c>
      <c r="I153">
        <v>1.0686</v>
      </c>
      <c r="J153">
        <v>2</v>
      </c>
      <c r="L153" t="s">
        <v>325</v>
      </c>
    </row>
    <row r="154" spans="2:12" x14ac:dyDescent="0.3">
      <c r="B154" t="s">
        <v>163</v>
      </c>
      <c r="C154" t="s">
        <v>135</v>
      </c>
      <c r="D154">
        <v>67.638400000000004</v>
      </c>
      <c r="E154" t="s">
        <v>135</v>
      </c>
      <c r="F154" t="s">
        <v>135</v>
      </c>
      <c r="G154" t="s">
        <v>135</v>
      </c>
      <c r="H154" t="s">
        <v>135</v>
      </c>
      <c r="I154" t="s">
        <v>135</v>
      </c>
      <c r="J154">
        <v>5</v>
      </c>
      <c r="L154" t="s">
        <v>362</v>
      </c>
    </row>
    <row r="155" spans="2:12" x14ac:dyDescent="0.3">
      <c r="B155" t="s">
        <v>164</v>
      </c>
      <c r="C155">
        <v>9.2809000000000008</v>
      </c>
      <c r="D155">
        <v>82.823599999999999</v>
      </c>
      <c r="E155">
        <v>50.022799999999997</v>
      </c>
      <c r="F155">
        <v>48.358800000000002</v>
      </c>
      <c r="G155">
        <v>48.740200000000002</v>
      </c>
      <c r="H155">
        <v>72.8035</v>
      </c>
      <c r="I155">
        <v>77.004900000000006</v>
      </c>
      <c r="J155">
        <v>5</v>
      </c>
      <c r="K155" t="s">
        <v>193</v>
      </c>
      <c r="L155" t="s">
        <v>363</v>
      </c>
    </row>
    <row r="156" spans="2:12" x14ac:dyDescent="0.3">
      <c r="B156" t="s">
        <v>165</v>
      </c>
      <c r="C156">
        <v>9.6409000000000002</v>
      </c>
      <c r="D156">
        <v>82.61</v>
      </c>
      <c r="E156">
        <v>50.179099999999998</v>
      </c>
      <c r="F156">
        <v>48.9788</v>
      </c>
      <c r="G156">
        <v>48.969700000000003</v>
      </c>
      <c r="H156">
        <v>73.658100000000005</v>
      </c>
      <c r="I156">
        <v>77.419300000000007</v>
      </c>
      <c r="J156">
        <v>5</v>
      </c>
      <c r="K156" t="s">
        <v>193</v>
      </c>
      <c r="L156" t="s">
        <v>364</v>
      </c>
    </row>
    <row r="157" spans="2:12" x14ac:dyDescent="0.3">
      <c r="B157" t="s">
        <v>95</v>
      </c>
      <c r="C157">
        <v>5.8700000000000002E-2</v>
      </c>
      <c r="D157">
        <v>22.1677</v>
      </c>
      <c r="E157" t="s">
        <v>135</v>
      </c>
      <c r="F157" t="s">
        <v>135</v>
      </c>
      <c r="G157" t="s">
        <v>135</v>
      </c>
      <c r="H157" t="s">
        <v>135</v>
      </c>
      <c r="I157">
        <v>3.8555999999999999</v>
      </c>
      <c r="J157">
        <v>1</v>
      </c>
      <c r="L157" t="s">
        <v>319</v>
      </c>
    </row>
    <row r="158" spans="2:12" x14ac:dyDescent="0.3">
      <c r="B158" t="s">
        <v>95</v>
      </c>
      <c r="C158" t="s">
        <v>135</v>
      </c>
      <c r="D158">
        <v>22.0655</v>
      </c>
      <c r="E158" t="s">
        <v>135</v>
      </c>
      <c r="F158" t="s">
        <v>135</v>
      </c>
      <c r="G158" t="s">
        <v>135</v>
      </c>
      <c r="H158" t="s">
        <v>135</v>
      </c>
      <c r="I158">
        <v>3.8161999999999998</v>
      </c>
      <c r="J158">
        <v>1</v>
      </c>
      <c r="L158" t="s">
        <v>445</v>
      </c>
    </row>
    <row r="159" spans="2:12" x14ac:dyDescent="0.3">
      <c r="B159" t="s">
        <v>98</v>
      </c>
      <c r="C159">
        <v>6.2300000000000001E-2</v>
      </c>
      <c r="D159">
        <v>5.4085000000000001</v>
      </c>
      <c r="E159" t="s">
        <v>135</v>
      </c>
      <c r="F159" t="s">
        <v>135</v>
      </c>
      <c r="G159" t="s">
        <v>135</v>
      </c>
      <c r="H159" t="s">
        <v>135</v>
      </c>
      <c r="I159">
        <v>0.12520000000000001</v>
      </c>
      <c r="J159">
        <v>1</v>
      </c>
      <c r="L159" t="s">
        <v>322</v>
      </c>
    </row>
    <row r="160" spans="2:12" x14ac:dyDescent="0.3">
      <c r="B160" t="s">
        <v>98</v>
      </c>
      <c r="C160">
        <v>6.7699999999999996E-2</v>
      </c>
      <c r="D160">
        <v>5.5266000000000002</v>
      </c>
      <c r="E160" t="s">
        <v>135</v>
      </c>
      <c r="F160" t="s">
        <v>135</v>
      </c>
      <c r="G160" t="s">
        <v>135</v>
      </c>
      <c r="H160" t="s">
        <v>135</v>
      </c>
      <c r="I160">
        <v>0.15129999999999999</v>
      </c>
      <c r="J160">
        <v>1</v>
      </c>
      <c r="L160" t="s">
        <v>448</v>
      </c>
    </row>
    <row r="161" spans="2:12" x14ac:dyDescent="0.3">
      <c r="B161" t="s">
        <v>97</v>
      </c>
      <c r="C161">
        <v>7.4899999999999994E-2</v>
      </c>
      <c r="D161">
        <v>4.8737000000000004</v>
      </c>
      <c r="E161" t="s">
        <v>135</v>
      </c>
      <c r="F161" t="s">
        <v>135</v>
      </c>
      <c r="G161" t="s">
        <v>135</v>
      </c>
      <c r="H161" t="s">
        <v>135</v>
      </c>
      <c r="I161">
        <v>1.0876999999999999</v>
      </c>
      <c r="J161">
        <v>1</v>
      </c>
      <c r="L161" t="s">
        <v>321</v>
      </c>
    </row>
    <row r="162" spans="2:12" x14ac:dyDescent="0.3">
      <c r="B162" t="s">
        <v>97</v>
      </c>
      <c r="C162">
        <v>6.7400000000000002E-2</v>
      </c>
      <c r="D162">
        <v>4.8430999999999997</v>
      </c>
      <c r="E162" t="s">
        <v>135</v>
      </c>
      <c r="F162" t="s">
        <v>135</v>
      </c>
      <c r="G162" t="s">
        <v>135</v>
      </c>
      <c r="H162" t="s">
        <v>135</v>
      </c>
      <c r="I162">
        <v>1.0644</v>
      </c>
      <c r="J162">
        <v>1</v>
      </c>
      <c r="L162" t="s">
        <v>447</v>
      </c>
    </row>
    <row r="163" spans="2:12" x14ac:dyDescent="0.3">
      <c r="B163" t="s">
        <v>201</v>
      </c>
      <c r="C163" t="s">
        <v>135</v>
      </c>
      <c r="D163" t="s">
        <v>135</v>
      </c>
      <c r="E163" t="s">
        <v>135</v>
      </c>
      <c r="F163" t="s">
        <v>135</v>
      </c>
      <c r="G163" t="s">
        <v>135</v>
      </c>
      <c r="H163" t="s">
        <v>135</v>
      </c>
      <c r="I163" t="s">
        <v>135</v>
      </c>
      <c r="J163">
        <v>1</v>
      </c>
      <c r="L163" t="s">
        <v>453</v>
      </c>
    </row>
    <row r="164" spans="2:12" x14ac:dyDescent="0.3">
      <c r="B164" t="s">
        <v>90</v>
      </c>
      <c r="C164">
        <v>3.4799999999999998E-2</v>
      </c>
      <c r="D164">
        <v>1.3734999999999999</v>
      </c>
      <c r="E164" t="s">
        <v>135</v>
      </c>
      <c r="F164" t="s">
        <v>135</v>
      </c>
      <c r="G164" t="s">
        <v>135</v>
      </c>
      <c r="H164" t="s">
        <v>135</v>
      </c>
      <c r="I164">
        <v>0.2651</v>
      </c>
      <c r="J164">
        <v>1</v>
      </c>
      <c r="L164" t="s">
        <v>313</v>
      </c>
    </row>
    <row r="165" spans="2:12" x14ac:dyDescent="0.3">
      <c r="B165" t="s">
        <v>90</v>
      </c>
      <c r="C165">
        <v>2.92E-2</v>
      </c>
      <c r="D165">
        <v>1.3974</v>
      </c>
      <c r="E165" t="s">
        <v>135</v>
      </c>
      <c r="F165" t="s">
        <v>135</v>
      </c>
      <c r="G165" t="s">
        <v>135</v>
      </c>
      <c r="H165" t="s">
        <v>135</v>
      </c>
      <c r="I165">
        <v>0.50309999999999999</v>
      </c>
      <c r="J165">
        <v>1</v>
      </c>
      <c r="L165" t="s">
        <v>451</v>
      </c>
    </row>
    <row r="166" spans="2:12" x14ac:dyDescent="0.3">
      <c r="B166" t="s">
        <v>89</v>
      </c>
      <c r="C166">
        <v>2.63E-2</v>
      </c>
      <c r="D166">
        <v>1.8635999999999999</v>
      </c>
      <c r="E166" t="s">
        <v>135</v>
      </c>
      <c r="F166" t="s">
        <v>135</v>
      </c>
      <c r="G166" t="s">
        <v>135</v>
      </c>
      <c r="H166" t="s">
        <v>135</v>
      </c>
      <c r="I166">
        <v>4.7889999999999997</v>
      </c>
      <c r="J166">
        <v>1</v>
      </c>
      <c r="L166" t="s">
        <v>312</v>
      </c>
    </row>
    <row r="167" spans="2:12" x14ac:dyDescent="0.3">
      <c r="B167" t="s">
        <v>89</v>
      </c>
      <c r="C167">
        <v>2.5899999999999999E-2</v>
      </c>
      <c r="D167">
        <v>1.8815999999999999</v>
      </c>
      <c r="E167" t="s">
        <v>135</v>
      </c>
      <c r="F167" t="s">
        <v>135</v>
      </c>
      <c r="G167" t="s">
        <v>135</v>
      </c>
      <c r="H167" t="s">
        <v>135</v>
      </c>
      <c r="I167">
        <v>4.7880000000000003</v>
      </c>
      <c r="J167">
        <v>1</v>
      </c>
      <c r="L167" t="s">
        <v>449</v>
      </c>
    </row>
    <row r="168" spans="2:12" x14ac:dyDescent="0.3">
      <c r="B168" t="s">
        <v>92</v>
      </c>
      <c r="C168" t="s">
        <v>135</v>
      </c>
      <c r="D168" t="s">
        <v>135</v>
      </c>
      <c r="E168" t="s">
        <v>135</v>
      </c>
      <c r="F168" t="s">
        <v>135</v>
      </c>
      <c r="G168" t="s">
        <v>135</v>
      </c>
      <c r="H168" t="s">
        <v>135</v>
      </c>
      <c r="I168" t="s">
        <v>135</v>
      </c>
      <c r="J168">
        <v>1</v>
      </c>
      <c r="L168" t="s">
        <v>315</v>
      </c>
    </row>
    <row r="169" spans="2:12" x14ac:dyDescent="0.3">
      <c r="B169" t="s">
        <v>91</v>
      </c>
      <c r="C169">
        <v>3.0099999999999998E-2</v>
      </c>
      <c r="D169">
        <v>1.89</v>
      </c>
      <c r="E169" t="s">
        <v>135</v>
      </c>
      <c r="F169" t="s">
        <v>135</v>
      </c>
      <c r="G169" t="s">
        <v>135</v>
      </c>
      <c r="H169" t="s">
        <v>135</v>
      </c>
      <c r="I169">
        <v>4.7430000000000003</v>
      </c>
      <c r="J169">
        <v>1</v>
      </c>
      <c r="L169" t="s">
        <v>314</v>
      </c>
    </row>
    <row r="170" spans="2:12" x14ac:dyDescent="0.3">
      <c r="B170" t="s">
        <v>91</v>
      </c>
      <c r="C170">
        <v>2.5600000000000001E-2</v>
      </c>
      <c r="D170">
        <v>1.8662000000000001</v>
      </c>
      <c r="E170" t="s">
        <v>135</v>
      </c>
      <c r="F170" t="s">
        <v>135</v>
      </c>
      <c r="G170" t="s">
        <v>135</v>
      </c>
      <c r="H170" t="s">
        <v>135</v>
      </c>
      <c r="I170">
        <v>4.7523999999999997</v>
      </c>
      <c r="J170">
        <v>1</v>
      </c>
      <c r="L170" t="s">
        <v>452</v>
      </c>
    </row>
    <row r="171" spans="2:12" x14ac:dyDescent="0.3">
      <c r="B171" t="s">
        <v>79</v>
      </c>
      <c r="C171">
        <v>0.25729999999999997</v>
      </c>
      <c r="D171">
        <v>1.0476000000000001</v>
      </c>
      <c r="E171" t="s">
        <v>135</v>
      </c>
      <c r="F171" t="s">
        <v>135</v>
      </c>
      <c r="G171">
        <v>0.49159999999999998</v>
      </c>
      <c r="H171" t="s">
        <v>135</v>
      </c>
      <c r="I171">
        <v>5.8045999999999998</v>
      </c>
      <c r="J171">
        <v>1</v>
      </c>
      <c r="L171" t="s">
        <v>299</v>
      </c>
    </row>
    <row r="172" spans="2:12" x14ac:dyDescent="0.3">
      <c r="B172" t="s">
        <v>78</v>
      </c>
      <c r="C172">
        <v>0.22439999999999999</v>
      </c>
      <c r="D172">
        <v>0.79049999999999998</v>
      </c>
      <c r="E172" t="s">
        <v>135</v>
      </c>
      <c r="F172" t="s">
        <v>135</v>
      </c>
      <c r="G172">
        <v>0.13919999999999999</v>
      </c>
      <c r="H172" t="s">
        <v>135</v>
      </c>
      <c r="I172">
        <v>4.5189000000000004</v>
      </c>
      <c r="J172">
        <v>1</v>
      </c>
      <c r="L172" t="s">
        <v>298</v>
      </c>
    </row>
    <row r="173" spans="2:12" x14ac:dyDescent="0.3">
      <c r="B173" t="s">
        <v>43</v>
      </c>
      <c r="C173">
        <v>0.21129999999999999</v>
      </c>
      <c r="D173">
        <v>6.9835000000000003</v>
      </c>
      <c r="E173" t="s">
        <v>135</v>
      </c>
      <c r="F173" t="s">
        <v>135</v>
      </c>
      <c r="G173" t="s">
        <v>135</v>
      </c>
      <c r="H173" t="s">
        <v>135</v>
      </c>
      <c r="I173">
        <v>75.398700000000005</v>
      </c>
      <c r="J173">
        <v>1</v>
      </c>
      <c r="L173" t="s">
        <v>246</v>
      </c>
    </row>
    <row r="174" spans="2:12" x14ac:dyDescent="0.3">
      <c r="B174" t="s">
        <v>51</v>
      </c>
      <c r="C174">
        <v>0.22889999999999999</v>
      </c>
      <c r="D174">
        <v>6.3901000000000003</v>
      </c>
      <c r="E174" t="s">
        <v>135</v>
      </c>
      <c r="F174" t="s">
        <v>135</v>
      </c>
      <c r="G174" t="s">
        <v>135</v>
      </c>
      <c r="H174" t="s">
        <v>135</v>
      </c>
      <c r="I174">
        <v>92.757800000000003</v>
      </c>
      <c r="J174">
        <v>5</v>
      </c>
      <c r="L174" t="s">
        <v>261</v>
      </c>
    </row>
    <row r="175" spans="2:12" x14ac:dyDescent="0.3">
      <c r="B175" t="s">
        <v>42</v>
      </c>
      <c r="C175">
        <v>0.25890000000000002</v>
      </c>
      <c r="D175">
        <v>9.0518000000000001</v>
      </c>
      <c r="E175" t="s">
        <v>135</v>
      </c>
      <c r="F175" t="s">
        <v>135</v>
      </c>
      <c r="G175" t="s">
        <v>135</v>
      </c>
      <c r="H175" t="s">
        <v>135</v>
      </c>
      <c r="I175">
        <v>80.055000000000007</v>
      </c>
      <c r="J175">
        <v>1</v>
      </c>
      <c r="L175" t="s">
        <v>245</v>
      </c>
    </row>
    <row r="176" spans="2:12" x14ac:dyDescent="0.3">
      <c r="B176" t="s">
        <v>50</v>
      </c>
      <c r="C176">
        <v>0.33629999999999999</v>
      </c>
      <c r="D176">
        <v>9.7944999999999993</v>
      </c>
      <c r="E176" t="s">
        <v>135</v>
      </c>
      <c r="F176" t="s">
        <v>135</v>
      </c>
      <c r="G176" t="s">
        <v>135</v>
      </c>
      <c r="H176" t="s">
        <v>135</v>
      </c>
      <c r="I176">
        <v>127.2303</v>
      </c>
      <c r="J176">
        <v>5</v>
      </c>
      <c r="L176" t="s">
        <v>260</v>
      </c>
    </row>
    <row r="177" spans="2:12" x14ac:dyDescent="0.3">
      <c r="B177" t="s">
        <v>45</v>
      </c>
      <c r="C177" t="s">
        <v>135</v>
      </c>
      <c r="D177" t="s">
        <v>135</v>
      </c>
      <c r="E177" t="s">
        <v>135</v>
      </c>
      <c r="F177" t="s">
        <v>135</v>
      </c>
      <c r="G177" t="s">
        <v>135</v>
      </c>
      <c r="H177" t="s">
        <v>135</v>
      </c>
      <c r="I177" t="s">
        <v>135</v>
      </c>
      <c r="J177">
        <v>1</v>
      </c>
      <c r="L177" t="s">
        <v>249</v>
      </c>
    </row>
    <row r="178" spans="2:12" x14ac:dyDescent="0.3">
      <c r="B178" t="s">
        <v>44</v>
      </c>
      <c r="C178">
        <v>0.31059999999999999</v>
      </c>
      <c r="D178">
        <v>10.8972</v>
      </c>
      <c r="E178" t="s">
        <v>135</v>
      </c>
      <c r="F178" t="s">
        <v>135</v>
      </c>
      <c r="G178" t="s">
        <v>135</v>
      </c>
      <c r="H178" t="s">
        <v>135</v>
      </c>
      <c r="I178">
        <v>80.415099999999995</v>
      </c>
      <c r="J178">
        <v>1</v>
      </c>
      <c r="L178" t="s">
        <v>248</v>
      </c>
    </row>
    <row r="179" spans="2:12" x14ac:dyDescent="0.3">
      <c r="B179" t="s">
        <v>52</v>
      </c>
      <c r="C179">
        <v>0.26369999999999999</v>
      </c>
      <c r="D179">
        <v>8.0925999999999991</v>
      </c>
      <c r="E179" t="s">
        <v>135</v>
      </c>
      <c r="F179" t="s">
        <v>135</v>
      </c>
      <c r="G179" t="s">
        <v>135</v>
      </c>
      <c r="H179" t="s">
        <v>135</v>
      </c>
      <c r="I179">
        <v>111.3214</v>
      </c>
      <c r="J179">
        <v>5</v>
      </c>
      <c r="L179" t="s">
        <v>262</v>
      </c>
    </row>
    <row r="180" spans="2:12" x14ac:dyDescent="0.3">
      <c r="B180" t="s">
        <v>24</v>
      </c>
      <c r="C180">
        <v>0.2651</v>
      </c>
      <c r="D180">
        <v>84.066699999999997</v>
      </c>
      <c r="E180" t="s">
        <v>135</v>
      </c>
      <c r="F180" t="s">
        <v>135</v>
      </c>
      <c r="G180" t="s">
        <v>135</v>
      </c>
      <c r="H180">
        <v>8.7858000000000001</v>
      </c>
      <c r="I180">
        <v>537.88810000000001</v>
      </c>
      <c r="J180">
        <v>20</v>
      </c>
      <c r="L180" t="s">
        <v>224</v>
      </c>
    </row>
    <row r="181" spans="2:12" x14ac:dyDescent="0.3">
      <c r="B181" t="s">
        <v>22</v>
      </c>
      <c r="C181" t="s">
        <v>135</v>
      </c>
      <c r="D181">
        <v>67.405600000000007</v>
      </c>
      <c r="E181" t="s">
        <v>135</v>
      </c>
      <c r="F181" t="s">
        <v>135</v>
      </c>
      <c r="G181" t="s">
        <v>135</v>
      </c>
      <c r="H181">
        <v>5.6959999999999997</v>
      </c>
      <c r="I181">
        <v>390.88729999999998</v>
      </c>
      <c r="J181">
        <v>20</v>
      </c>
      <c r="L181" t="s">
        <v>222</v>
      </c>
    </row>
    <row r="182" spans="2:12" x14ac:dyDescent="0.3">
      <c r="B182" t="s">
        <v>41</v>
      </c>
      <c r="C182">
        <v>0.19339999999999999</v>
      </c>
      <c r="D182">
        <v>22.305299999999999</v>
      </c>
      <c r="E182" t="s">
        <v>135</v>
      </c>
      <c r="F182">
        <v>0.18659999999999999</v>
      </c>
      <c r="G182" t="s">
        <v>135</v>
      </c>
      <c r="H182">
        <v>0.6885</v>
      </c>
      <c r="I182" t="s">
        <v>135</v>
      </c>
      <c r="J182">
        <v>1</v>
      </c>
      <c r="L182" t="s">
        <v>244</v>
      </c>
    </row>
    <row r="183" spans="2:12" x14ac:dyDescent="0.3">
      <c r="B183" t="s">
        <v>49</v>
      </c>
      <c r="C183">
        <v>0.2185</v>
      </c>
      <c r="D183">
        <v>24.104199999999999</v>
      </c>
      <c r="E183" t="s">
        <v>135</v>
      </c>
      <c r="F183" t="s">
        <v>135</v>
      </c>
      <c r="G183" t="s">
        <v>135</v>
      </c>
      <c r="H183" t="s">
        <v>135</v>
      </c>
      <c r="I183">
        <v>555.80229999999995</v>
      </c>
      <c r="J183">
        <v>20</v>
      </c>
      <c r="L183" t="s">
        <v>259</v>
      </c>
    </row>
    <row r="184" spans="2:12" x14ac:dyDescent="0.3">
      <c r="B184" t="s">
        <v>40</v>
      </c>
      <c r="C184">
        <v>0.21609999999999999</v>
      </c>
      <c r="D184">
        <v>22.2927</v>
      </c>
      <c r="E184" t="s">
        <v>135</v>
      </c>
      <c r="F184">
        <v>0.18410000000000001</v>
      </c>
      <c r="G184" t="s">
        <v>135</v>
      </c>
      <c r="H184">
        <v>0.38729999999999998</v>
      </c>
      <c r="I184" t="s">
        <v>135</v>
      </c>
      <c r="J184">
        <v>1</v>
      </c>
      <c r="L184" t="s">
        <v>243</v>
      </c>
    </row>
    <row r="185" spans="2:12" x14ac:dyDescent="0.3">
      <c r="B185" t="s">
        <v>48</v>
      </c>
      <c r="C185">
        <v>0.3881</v>
      </c>
      <c r="D185">
        <v>28.7742</v>
      </c>
      <c r="E185" t="s">
        <v>135</v>
      </c>
      <c r="F185" t="s">
        <v>135</v>
      </c>
      <c r="G185" t="s">
        <v>135</v>
      </c>
      <c r="H185" t="s">
        <v>135</v>
      </c>
      <c r="I185">
        <v>644.73329999999999</v>
      </c>
      <c r="J185">
        <v>20</v>
      </c>
      <c r="L185" t="s">
        <v>258</v>
      </c>
    </row>
    <row r="186" spans="2:12" x14ac:dyDescent="0.3">
      <c r="B186" t="s">
        <v>54</v>
      </c>
      <c r="C186">
        <v>6.1600000000000002E-2</v>
      </c>
      <c r="D186">
        <v>8.7767999999999997</v>
      </c>
      <c r="E186" t="s">
        <v>135</v>
      </c>
      <c r="F186" t="s">
        <v>135</v>
      </c>
      <c r="G186" t="s">
        <v>135</v>
      </c>
      <c r="H186" t="s">
        <v>135</v>
      </c>
      <c r="I186">
        <v>5.6550000000000002</v>
      </c>
      <c r="J186">
        <v>1</v>
      </c>
      <c r="L186" t="s">
        <v>264</v>
      </c>
    </row>
    <row r="187" spans="2:12" x14ac:dyDescent="0.3">
      <c r="B187" t="s">
        <v>53</v>
      </c>
      <c r="C187">
        <v>7.0599999999999996E-2</v>
      </c>
      <c r="D187">
        <v>8.8521999999999998</v>
      </c>
      <c r="E187" t="s">
        <v>135</v>
      </c>
      <c r="F187" t="s">
        <v>135</v>
      </c>
      <c r="G187" t="s">
        <v>135</v>
      </c>
      <c r="H187" t="s">
        <v>135</v>
      </c>
      <c r="I187">
        <v>5.8438999999999997</v>
      </c>
      <c r="J187">
        <v>1</v>
      </c>
      <c r="L187" t="s">
        <v>263</v>
      </c>
    </row>
    <row r="188" spans="2:12" x14ac:dyDescent="0.3">
      <c r="B188" t="s">
        <v>56</v>
      </c>
      <c r="C188">
        <v>4.7300000000000002E-2</v>
      </c>
      <c r="D188">
        <v>0.34839999999999999</v>
      </c>
      <c r="E188" t="s">
        <v>135</v>
      </c>
      <c r="F188" t="s">
        <v>135</v>
      </c>
      <c r="G188">
        <v>3.9100000000000003E-2</v>
      </c>
      <c r="H188" t="s">
        <v>135</v>
      </c>
      <c r="I188">
        <v>7.8399999999999997E-2</v>
      </c>
      <c r="J188">
        <v>1</v>
      </c>
      <c r="L188" t="s">
        <v>266</v>
      </c>
    </row>
    <row r="189" spans="2:12" x14ac:dyDescent="0.3">
      <c r="B189" t="s">
        <v>55</v>
      </c>
      <c r="C189">
        <v>5.96E-2</v>
      </c>
      <c r="D189">
        <v>8.0729000000000006</v>
      </c>
      <c r="E189" t="s">
        <v>135</v>
      </c>
      <c r="F189" t="s">
        <v>135</v>
      </c>
      <c r="G189" t="s">
        <v>135</v>
      </c>
      <c r="H189" t="s">
        <v>135</v>
      </c>
      <c r="I189">
        <v>5.4813999999999998</v>
      </c>
      <c r="J189">
        <v>1</v>
      </c>
      <c r="L189" t="s">
        <v>265</v>
      </c>
    </row>
    <row r="190" spans="2:12" x14ac:dyDescent="0.3">
      <c r="B190" t="s">
        <v>64</v>
      </c>
      <c r="C190">
        <v>7.5600000000000001E-2</v>
      </c>
      <c r="D190">
        <v>27.639700000000001</v>
      </c>
      <c r="E190" t="s">
        <v>135</v>
      </c>
      <c r="F190" t="s">
        <v>135</v>
      </c>
      <c r="G190">
        <v>10.318099999999999</v>
      </c>
      <c r="H190" t="s">
        <v>135</v>
      </c>
      <c r="I190">
        <v>22.970300000000002</v>
      </c>
      <c r="J190">
        <v>1</v>
      </c>
      <c r="L190" t="s">
        <v>277</v>
      </c>
    </row>
    <row r="191" spans="2:12" x14ac:dyDescent="0.3">
      <c r="B191" t="s">
        <v>85</v>
      </c>
      <c r="C191">
        <v>9.2100000000000001E-2</v>
      </c>
      <c r="D191">
        <v>29.016500000000001</v>
      </c>
      <c r="E191">
        <v>0.26</v>
      </c>
      <c r="F191" t="s">
        <v>135</v>
      </c>
      <c r="G191">
        <v>9.8737999999999992</v>
      </c>
      <c r="H191" t="s">
        <v>135</v>
      </c>
      <c r="I191">
        <v>22.506599999999999</v>
      </c>
      <c r="J191">
        <v>2</v>
      </c>
      <c r="L191" t="s">
        <v>308</v>
      </c>
    </row>
    <row r="192" spans="2:12" x14ac:dyDescent="0.3">
      <c r="B192" t="s">
        <v>86</v>
      </c>
      <c r="C192">
        <v>3.9514999999999998</v>
      </c>
      <c r="D192">
        <v>35.244999999999997</v>
      </c>
      <c r="E192">
        <v>20.477599999999999</v>
      </c>
      <c r="F192">
        <v>19.497699999999998</v>
      </c>
      <c r="G192">
        <v>30.386700000000001</v>
      </c>
      <c r="H192">
        <v>30.068000000000001</v>
      </c>
      <c r="I192">
        <v>53.522199999999998</v>
      </c>
      <c r="J192">
        <v>2</v>
      </c>
      <c r="K192" t="s">
        <v>142</v>
      </c>
      <c r="L192" t="s">
        <v>309</v>
      </c>
    </row>
    <row r="193" spans="2:12" x14ac:dyDescent="0.3">
      <c r="B193" t="s">
        <v>87</v>
      </c>
      <c r="C193">
        <v>4.0567000000000002</v>
      </c>
      <c r="D193">
        <v>35.3812</v>
      </c>
      <c r="E193">
        <v>20.545100000000001</v>
      </c>
      <c r="F193">
        <v>19.995999999999999</v>
      </c>
      <c r="G193">
        <v>30.6554</v>
      </c>
      <c r="H193">
        <v>29.78</v>
      </c>
      <c r="I193">
        <v>54.231099999999998</v>
      </c>
      <c r="J193">
        <v>2</v>
      </c>
      <c r="K193" t="s">
        <v>142</v>
      </c>
      <c r="L193" t="s">
        <v>310</v>
      </c>
    </row>
    <row r="194" spans="2:12" x14ac:dyDescent="0.3">
      <c r="B194" t="s">
        <v>63</v>
      </c>
      <c r="C194">
        <v>0.10630000000000001</v>
      </c>
      <c r="D194">
        <v>27.6739</v>
      </c>
      <c r="E194" t="s">
        <v>135</v>
      </c>
      <c r="F194" t="s">
        <v>135</v>
      </c>
      <c r="G194">
        <v>12.988899999999999</v>
      </c>
      <c r="H194" t="s">
        <v>135</v>
      </c>
      <c r="I194">
        <v>22.671600000000002</v>
      </c>
      <c r="J194">
        <v>1</v>
      </c>
      <c r="L194" t="s">
        <v>276</v>
      </c>
    </row>
    <row r="195" spans="2:12" x14ac:dyDescent="0.3">
      <c r="B195" t="s">
        <v>84</v>
      </c>
      <c r="C195">
        <v>9.8400000000000001E-2</v>
      </c>
      <c r="D195">
        <v>28.982099999999999</v>
      </c>
      <c r="E195" t="s">
        <v>135</v>
      </c>
      <c r="F195" t="s">
        <v>135</v>
      </c>
      <c r="G195">
        <v>12.4131</v>
      </c>
      <c r="H195" t="s">
        <v>135</v>
      </c>
      <c r="I195">
        <v>22.4544</v>
      </c>
      <c r="J195">
        <v>2</v>
      </c>
      <c r="L195" t="s">
        <v>304</v>
      </c>
    </row>
    <row r="196" spans="2:12" x14ac:dyDescent="0.3">
      <c r="B196" t="s">
        <v>77</v>
      </c>
      <c r="C196">
        <v>3.5499999999999997E-2</v>
      </c>
      <c r="D196">
        <v>15.3811</v>
      </c>
      <c r="E196" t="s">
        <v>135</v>
      </c>
      <c r="F196" t="s">
        <v>135</v>
      </c>
      <c r="G196">
        <v>10.608700000000001</v>
      </c>
      <c r="H196" t="s">
        <v>135</v>
      </c>
      <c r="I196">
        <v>8.5627999999999993</v>
      </c>
      <c r="J196">
        <v>1</v>
      </c>
      <c r="L196" t="s">
        <v>297</v>
      </c>
    </row>
    <row r="197" spans="2:12" x14ac:dyDescent="0.3">
      <c r="B197" t="s">
        <v>76</v>
      </c>
      <c r="C197">
        <v>2.8799999999999999E-2</v>
      </c>
      <c r="D197">
        <v>15.399100000000001</v>
      </c>
      <c r="E197" t="s">
        <v>135</v>
      </c>
      <c r="F197" t="s">
        <v>135</v>
      </c>
      <c r="G197">
        <v>10.5418</v>
      </c>
      <c r="H197" t="s">
        <v>135</v>
      </c>
      <c r="I197">
        <v>8.6808999999999994</v>
      </c>
      <c r="J197">
        <v>1</v>
      </c>
      <c r="L197" t="s">
        <v>296</v>
      </c>
    </row>
    <row r="198" spans="2:12" x14ac:dyDescent="0.3">
      <c r="B198" t="s">
        <v>66</v>
      </c>
      <c r="C198">
        <v>0.21179999999999999</v>
      </c>
      <c r="D198">
        <v>34.792200000000001</v>
      </c>
      <c r="E198" t="s">
        <v>135</v>
      </c>
      <c r="F198">
        <v>6.9699999999999998E-2</v>
      </c>
      <c r="G198" t="s">
        <v>135</v>
      </c>
      <c r="H198">
        <v>0.39629999999999999</v>
      </c>
      <c r="I198">
        <v>18.873799999999999</v>
      </c>
      <c r="J198">
        <v>1</v>
      </c>
      <c r="L198" t="s">
        <v>279</v>
      </c>
    </row>
    <row r="199" spans="2:12" x14ac:dyDescent="0.3">
      <c r="B199" t="s">
        <v>83</v>
      </c>
      <c r="C199">
        <v>0.1903</v>
      </c>
      <c r="D199">
        <v>40.311900000000001</v>
      </c>
      <c r="E199" t="s">
        <v>135</v>
      </c>
      <c r="F199" t="s">
        <v>135</v>
      </c>
      <c r="G199" t="s">
        <v>135</v>
      </c>
      <c r="H199">
        <v>0.33950000000000002</v>
      </c>
      <c r="I199">
        <v>19.108699999999999</v>
      </c>
      <c r="J199">
        <v>2</v>
      </c>
      <c r="L199" t="s">
        <v>303</v>
      </c>
    </row>
    <row r="200" spans="2:12" x14ac:dyDescent="0.3">
      <c r="B200" t="s">
        <v>65</v>
      </c>
      <c r="C200">
        <v>0.17499999999999999</v>
      </c>
      <c r="D200">
        <v>23.5366</v>
      </c>
      <c r="E200" t="s">
        <v>135</v>
      </c>
      <c r="F200" t="s">
        <v>135</v>
      </c>
      <c r="G200" t="s">
        <v>135</v>
      </c>
      <c r="H200" t="s">
        <v>135</v>
      </c>
      <c r="I200">
        <v>17.916899999999998</v>
      </c>
      <c r="J200">
        <v>1</v>
      </c>
      <c r="L200" t="s">
        <v>278</v>
      </c>
    </row>
    <row r="201" spans="2:12" x14ac:dyDescent="0.3">
      <c r="B201" t="s">
        <v>60</v>
      </c>
      <c r="C201">
        <v>0.41220000000000001</v>
      </c>
      <c r="D201">
        <v>34.384</v>
      </c>
      <c r="E201" t="s">
        <v>135</v>
      </c>
      <c r="F201">
        <v>0.308</v>
      </c>
      <c r="G201" t="s">
        <v>135</v>
      </c>
      <c r="H201">
        <v>0.99980000000000002</v>
      </c>
      <c r="I201">
        <v>15.3179</v>
      </c>
      <c r="J201">
        <v>1</v>
      </c>
      <c r="L201" t="s">
        <v>273</v>
      </c>
    </row>
    <row r="202" spans="2:12" x14ac:dyDescent="0.3">
      <c r="B202" t="s">
        <v>81</v>
      </c>
      <c r="C202">
        <v>0.41639999999999999</v>
      </c>
      <c r="D202">
        <v>68.212199999999996</v>
      </c>
      <c r="E202" t="s">
        <v>135</v>
      </c>
      <c r="F202">
        <v>0.3145</v>
      </c>
      <c r="G202" t="s">
        <v>135</v>
      </c>
      <c r="H202">
        <v>1.0181</v>
      </c>
      <c r="I202">
        <v>12.245900000000001</v>
      </c>
      <c r="J202">
        <v>2</v>
      </c>
      <c r="L202" t="s">
        <v>301</v>
      </c>
    </row>
    <row r="203" spans="2:12" x14ac:dyDescent="0.3">
      <c r="B203" t="s">
        <v>57</v>
      </c>
      <c r="C203">
        <v>0.35749999999999998</v>
      </c>
      <c r="D203">
        <v>34.6205</v>
      </c>
      <c r="E203" t="s">
        <v>135</v>
      </c>
      <c r="F203">
        <v>0.31109999999999999</v>
      </c>
      <c r="G203" t="s">
        <v>135</v>
      </c>
      <c r="H203" t="s">
        <v>135</v>
      </c>
      <c r="I203">
        <v>18.389199999999999</v>
      </c>
      <c r="J203">
        <v>1</v>
      </c>
      <c r="L203" t="s">
        <v>270</v>
      </c>
    </row>
    <row r="204" spans="2:12" x14ac:dyDescent="0.3">
      <c r="B204" t="s">
        <v>80</v>
      </c>
      <c r="C204">
        <v>0.42530000000000001</v>
      </c>
      <c r="D204">
        <v>69.017300000000006</v>
      </c>
      <c r="E204" t="s">
        <v>135</v>
      </c>
      <c r="F204">
        <v>0.31780000000000003</v>
      </c>
      <c r="G204" t="s">
        <v>135</v>
      </c>
      <c r="H204" t="s">
        <v>135</v>
      </c>
      <c r="I204">
        <v>18.693999999999999</v>
      </c>
      <c r="J204">
        <v>2</v>
      </c>
      <c r="L204" t="s">
        <v>300</v>
      </c>
    </row>
    <row r="205" spans="2:12" x14ac:dyDescent="0.3">
      <c r="B205" t="s">
        <v>62</v>
      </c>
      <c r="C205" t="s">
        <v>135</v>
      </c>
      <c r="D205" t="s">
        <v>135</v>
      </c>
      <c r="E205" t="s">
        <v>135</v>
      </c>
      <c r="F205" t="s">
        <v>135</v>
      </c>
      <c r="G205" t="s">
        <v>135</v>
      </c>
      <c r="H205" t="s">
        <v>135</v>
      </c>
      <c r="I205" t="s">
        <v>135</v>
      </c>
      <c r="J205">
        <v>1</v>
      </c>
      <c r="L205" t="s">
        <v>275</v>
      </c>
    </row>
    <row r="206" spans="2:12" x14ac:dyDescent="0.3">
      <c r="B206" t="s">
        <v>61</v>
      </c>
      <c r="C206">
        <v>0.41410000000000002</v>
      </c>
      <c r="D206">
        <v>34.223700000000001</v>
      </c>
      <c r="E206" t="s">
        <v>135</v>
      </c>
      <c r="F206">
        <v>0.313</v>
      </c>
      <c r="G206" t="s">
        <v>135</v>
      </c>
      <c r="H206" t="s">
        <v>135</v>
      </c>
      <c r="I206">
        <v>18.750399999999999</v>
      </c>
      <c r="J206">
        <v>1</v>
      </c>
      <c r="L206" t="s">
        <v>274</v>
      </c>
    </row>
    <row r="207" spans="2:12" x14ac:dyDescent="0.3">
      <c r="B207" t="s">
        <v>82</v>
      </c>
      <c r="C207">
        <v>0.41499999999999998</v>
      </c>
      <c r="D207">
        <v>68.169399999999996</v>
      </c>
      <c r="E207" t="s">
        <v>135</v>
      </c>
      <c r="F207">
        <v>0.29959999999999998</v>
      </c>
      <c r="G207" t="s">
        <v>135</v>
      </c>
      <c r="H207" t="s">
        <v>135</v>
      </c>
      <c r="I207">
        <v>18.404699999999998</v>
      </c>
      <c r="J207">
        <v>2</v>
      </c>
      <c r="L207" t="s">
        <v>302</v>
      </c>
    </row>
    <row r="208" spans="2:12" x14ac:dyDescent="0.3">
      <c r="B208" t="s">
        <v>58</v>
      </c>
      <c r="C208">
        <v>2.3342000000000001</v>
      </c>
      <c r="D208">
        <v>37.433199999999999</v>
      </c>
      <c r="E208">
        <v>10.0341</v>
      </c>
      <c r="F208">
        <v>10.0274</v>
      </c>
      <c r="G208">
        <v>9.8587000000000007</v>
      </c>
      <c r="H208">
        <v>14.5136</v>
      </c>
      <c r="I208">
        <v>31.638300000000001</v>
      </c>
      <c r="J208">
        <v>1</v>
      </c>
      <c r="K208" t="s">
        <v>140</v>
      </c>
      <c r="L208" t="s">
        <v>271</v>
      </c>
    </row>
    <row r="209" spans="2:12" x14ac:dyDescent="0.3">
      <c r="B209" t="s">
        <v>59</v>
      </c>
      <c r="C209">
        <v>2.3315000000000001</v>
      </c>
      <c r="D209">
        <v>37.097000000000001</v>
      </c>
      <c r="E209">
        <v>10.092000000000001</v>
      </c>
      <c r="F209">
        <v>9.9677000000000007</v>
      </c>
      <c r="G209">
        <v>9.7579999999999991</v>
      </c>
      <c r="H209">
        <v>14.3642</v>
      </c>
      <c r="I209">
        <v>31.788699999999999</v>
      </c>
      <c r="J209">
        <v>1</v>
      </c>
      <c r="K209" t="s">
        <v>140</v>
      </c>
      <c r="L209" t="s">
        <v>272</v>
      </c>
    </row>
    <row r="210" spans="2:12" x14ac:dyDescent="0.3">
      <c r="B210" t="s">
        <v>16</v>
      </c>
      <c r="C210" t="s">
        <v>135</v>
      </c>
      <c r="D210">
        <v>319.91050000000001</v>
      </c>
      <c r="E210" t="s">
        <v>135</v>
      </c>
      <c r="F210" t="s">
        <v>135</v>
      </c>
      <c r="G210" t="s">
        <v>135</v>
      </c>
      <c r="H210" t="s">
        <v>135</v>
      </c>
      <c r="I210">
        <v>39.597499999999997</v>
      </c>
      <c r="J210">
        <v>100</v>
      </c>
      <c r="L210" t="s">
        <v>216</v>
      </c>
    </row>
    <row r="211" spans="2:12" x14ac:dyDescent="0.3">
      <c r="B211" t="s">
        <v>13</v>
      </c>
      <c r="C211" t="s">
        <v>135</v>
      </c>
      <c r="D211">
        <v>327.56979999999999</v>
      </c>
      <c r="E211" t="s">
        <v>135</v>
      </c>
      <c r="F211" t="s">
        <v>135</v>
      </c>
      <c r="G211" t="s">
        <v>135</v>
      </c>
      <c r="H211" t="s">
        <v>135</v>
      </c>
      <c r="I211">
        <v>40.0002</v>
      </c>
      <c r="J211">
        <v>100</v>
      </c>
      <c r="L211" t="s">
        <v>213</v>
      </c>
    </row>
    <row r="212" spans="2:12" x14ac:dyDescent="0.3">
      <c r="B212" t="s">
        <v>17</v>
      </c>
      <c r="C212" t="s">
        <v>135</v>
      </c>
      <c r="D212">
        <v>330.7835</v>
      </c>
      <c r="E212" t="s">
        <v>135</v>
      </c>
      <c r="F212" t="s">
        <v>135</v>
      </c>
      <c r="G212" t="s">
        <v>135</v>
      </c>
      <c r="H212" t="s">
        <v>135</v>
      </c>
      <c r="I212">
        <v>40.200200000000002</v>
      </c>
      <c r="J212">
        <v>100</v>
      </c>
      <c r="L212" t="s">
        <v>217</v>
      </c>
    </row>
    <row r="213" spans="2:12" x14ac:dyDescent="0.3">
      <c r="B213" t="s">
        <v>14</v>
      </c>
      <c r="C213">
        <v>191.8244</v>
      </c>
      <c r="D213">
        <v>629.32910000000004</v>
      </c>
      <c r="E213">
        <v>1041.7724000000001</v>
      </c>
      <c r="F213">
        <v>973.19489999999996</v>
      </c>
      <c r="G213">
        <v>982.98090000000002</v>
      </c>
      <c r="H213">
        <v>1501.1404</v>
      </c>
      <c r="I213">
        <v>1573.0518</v>
      </c>
      <c r="J213">
        <v>100</v>
      </c>
      <c r="K213" t="s">
        <v>138</v>
      </c>
      <c r="L213" t="s">
        <v>214</v>
      </c>
    </row>
    <row r="214" spans="2:12" x14ac:dyDescent="0.3">
      <c r="B214" t="s">
        <v>15</v>
      </c>
      <c r="C214">
        <v>186.94309999999999</v>
      </c>
      <c r="D214">
        <v>631.77739999999994</v>
      </c>
      <c r="E214">
        <v>1019.6944</v>
      </c>
      <c r="F214">
        <v>962.00130000000001</v>
      </c>
      <c r="G214">
        <v>947.51689999999996</v>
      </c>
      <c r="H214">
        <v>1462.9630999999999</v>
      </c>
      <c r="I214">
        <v>1543.4945</v>
      </c>
      <c r="J214">
        <v>100</v>
      </c>
      <c r="K214" t="s">
        <v>138</v>
      </c>
      <c r="L214" t="s">
        <v>215</v>
      </c>
    </row>
    <row r="215" spans="2:12" x14ac:dyDescent="0.3">
      <c r="B215" t="s">
        <v>19</v>
      </c>
      <c r="C215">
        <v>1.8254999999999999</v>
      </c>
      <c r="D215">
        <v>245.01089999999999</v>
      </c>
      <c r="E215" t="s">
        <v>135</v>
      </c>
      <c r="F215" t="s">
        <v>135</v>
      </c>
      <c r="G215" t="s">
        <v>135</v>
      </c>
      <c r="H215" t="s">
        <v>135</v>
      </c>
      <c r="I215">
        <v>565.38419999999996</v>
      </c>
      <c r="J215">
        <v>20</v>
      </c>
      <c r="L215" t="s">
        <v>219</v>
      </c>
    </row>
    <row r="216" spans="2:12" x14ac:dyDescent="0.3">
      <c r="B216" t="s">
        <v>18</v>
      </c>
      <c r="C216">
        <v>2.1301000000000001</v>
      </c>
      <c r="D216">
        <v>281.72949999999997</v>
      </c>
      <c r="E216" t="s">
        <v>135</v>
      </c>
      <c r="F216" t="s">
        <v>135</v>
      </c>
      <c r="G216" t="s">
        <v>135</v>
      </c>
      <c r="H216" t="s">
        <v>135</v>
      </c>
      <c r="I216">
        <v>643.9941</v>
      </c>
      <c r="J216">
        <v>20</v>
      </c>
      <c r="L216" t="s">
        <v>218</v>
      </c>
    </row>
    <row r="217" spans="2:12" x14ac:dyDescent="0.3">
      <c r="B217" t="s">
        <v>21</v>
      </c>
      <c r="C217">
        <v>0.95189999999999997</v>
      </c>
      <c r="D217">
        <v>13.5442</v>
      </c>
      <c r="E217" t="s">
        <v>135</v>
      </c>
      <c r="F217" t="s">
        <v>135</v>
      </c>
      <c r="G217" t="s">
        <v>135</v>
      </c>
      <c r="H217" t="s">
        <v>135</v>
      </c>
      <c r="I217">
        <v>58.151400000000002</v>
      </c>
      <c r="J217">
        <v>5</v>
      </c>
      <c r="L217" t="s">
        <v>221</v>
      </c>
    </row>
    <row r="218" spans="2:12" x14ac:dyDescent="0.3">
      <c r="B218" t="s">
        <v>20</v>
      </c>
      <c r="C218">
        <v>0.73570000000000002</v>
      </c>
      <c r="D218">
        <v>11.99</v>
      </c>
      <c r="E218" t="s">
        <v>135</v>
      </c>
      <c r="F218" t="s">
        <v>135</v>
      </c>
      <c r="G218" t="s">
        <v>135</v>
      </c>
      <c r="H218" t="s">
        <v>135</v>
      </c>
      <c r="I218">
        <v>48.773600000000002</v>
      </c>
      <c r="J218">
        <v>5</v>
      </c>
      <c r="L218" t="s">
        <v>220</v>
      </c>
    </row>
    <row r="219" spans="2:12" x14ac:dyDescent="0.3">
      <c r="B219" t="s">
        <v>10</v>
      </c>
      <c r="C219" t="s">
        <v>135</v>
      </c>
      <c r="D219" t="s">
        <v>135</v>
      </c>
      <c r="E219" t="s">
        <v>135</v>
      </c>
      <c r="F219" t="s">
        <v>135</v>
      </c>
      <c r="G219" t="s">
        <v>135</v>
      </c>
      <c r="H219" t="s">
        <v>135</v>
      </c>
      <c r="I219" t="s">
        <v>135</v>
      </c>
      <c r="J219">
        <v>1</v>
      </c>
      <c r="L219" t="s">
        <v>210</v>
      </c>
    </row>
    <row r="220" spans="2:12" x14ac:dyDescent="0.3">
      <c r="B220" t="s">
        <v>10</v>
      </c>
      <c r="C220" t="s">
        <v>135</v>
      </c>
      <c r="D220" t="s">
        <v>135</v>
      </c>
      <c r="E220" t="s">
        <v>135</v>
      </c>
      <c r="F220" t="s">
        <v>135</v>
      </c>
      <c r="G220" t="s">
        <v>135</v>
      </c>
      <c r="H220" t="s">
        <v>135</v>
      </c>
      <c r="I220" t="s">
        <v>135</v>
      </c>
      <c r="J220">
        <v>1</v>
      </c>
      <c r="L220" t="s">
        <v>234</v>
      </c>
    </row>
    <row r="221" spans="2:12" x14ac:dyDescent="0.3">
      <c r="B221" t="s">
        <v>10</v>
      </c>
      <c r="C221" t="s">
        <v>135</v>
      </c>
      <c r="D221" t="s">
        <v>135</v>
      </c>
      <c r="E221" t="s">
        <v>135</v>
      </c>
      <c r="F221" t="s">
        <v>135</v>
      </c>
      <c r="G221" t="s">
        <v>135</v>
      </c>
      <c r="H221" t="s">
        <v>135</v>
      </c>
      <c r="I221" t="s">
        <v>135</v>
      </c>
      <c r="J221">
        <v>1</v>
      </c>
      <c r="L221" t="s">
        <v>253</v>
      </c>
    </row>
    <row r="222" spans="2:12" x14ac:dyDescent="0.3">
      <c r="B222" t="s">
        <v>10</v>
      </c>
      <c r="C222" t="s">
        <v>135</v>
      </c>
      <c r="D222" t="s">
        <v>135</v>
      </c>
      <c r="E222" t="s">
        <v>135</v>
      </c>
      <c r="F222" t="s">
        <v>135</v>
      </c>
      <c r="G222" t="s">
        <v>135</v>
      </c>
      <c r="H222" t="s">
        <v>135</v>
      </c>
      <c r="I222" t="s">
        <v>135</v>
      </c>
      <c r="J222">
        <v>1</v>
      </c>
      <c r="L222" t="s">
        <v>267</v>
      </c>
    </row>
    <row r="223" spans="2:12" x14ac:dyDescent="0.3">
      <c r="B223" t="s">
        <v>10</v>
      </c>
      <c r="C223" t="s">
        <v>135</v>
      </c>
      <c r="D223" t="s">
        <v>135</v>
      </c>
      <c r="E223" t="s">
        <v>135</v>
      </c>
      <c r="F223" t="s">
        <v>135</v>
      </c>
      <c r="G223" t="s">
        <v>135</v>
      </c>
      <c r="H223" t="s">
        <v>135</v>
      </c>
      <c r="I223" t="s">
        <v>135</v>
      </c>
      <c r="J223">
        <v>1</v>
      </c>
      <c r="L223" t="s">
        <v>283</v>
      </c>
    </row>
    <row r="224" spans="2:12" x14ac:dyDescent="0.3">
      <c r="B224" t="s">
        <v>10</v>
      </c>
      <c r="C224" t="s">
        <v>135</v>
      </c>
      <c r="D224" t="s">
        <v>135</v>
      </c>
      <c r="E224" t="s">
        <v>135</v>
      </c>
      <c r="F224" t="s">
        <v>135</v>
      </c>
      <c r="G224" t="s">
        <v>135</v>
      </c>
      <c r="H224" t="s">
        <v>135</v>
      </c>
      <c r="I224" t="s">
        <v>135</v>
      </c>
      <c r="J224">
        <v>1</v>
      </c>
      <c r="L224" t="s">
        <v>307</v>
      </c>
    </row>
    <row r="225" spans="2:12" x14ac:dyDescent="0.3">
      <c r="B225" t="s">
        <v>10</v>
      </c>
      <c r="C225" t="s">
        <v>135</v>
      </c>
      <c r="D225" t="s">
        <v>135</v>
      </c>
      <c r="E225" t="s">
        <v>135</v>
      </c>
      <c r="F225" t="s">
        <v>135</v>
      </c>
      <c r="G225" t="s">
        <v>135</v>
      </c>
      <c r="H225" t="s">
        <v>135</v>
      </c>
      <c r="I225" t="s">
        <v>135</v>
      </c>
      <c r="J225">
        <v>1</v>
      </c>
      <c r="L225" t="s">
        <v>335</v>
      </c>
    </row>
    <row r="226" spans="2:12" x14ac:dyDescent="0.3">
      <c r="B226" t="s">
        <v>10</v>
      </c>
      <c r="C226" t="s">
        <v>135</v>
      </c>
      <c r="D226" t="s">
        <v>135</v>
      </c>
      <c r="E226" t="s">
        <v>135</v>
      </c>
      <c r="F226" t="s">
        <v>135</v>
      </c>
      <c r="G226" t="s">
        <v>135</v>
      </c>
      <c r="H226" t="s">
        <v>135</v>
      </c>
      <c r="I226" t="s">
        <v>135</v>
      </c>
      <c r="J226">
        <v>1</v>
      </c>
      <c r="L226" t="s">
        <v>361</v>
      </c>
    </row>
    <row r="227" spans="2:12" x14ac:dyDescent="0.3">
      <c r="B227" t="s">
        <v>10</v>
      </c>
      <c r="C227" t="s">
        <v>135</v>
      </c>
      <c r="D227" t="s">
        <v>135</v>
      </c>
      <c r="E227" t="s">
        <v>135</v>
      </c>
      <c r="F227" t="s">
        <v>135</v>
      </c>
      <c r="G227" t="s">
        <v>135</v>
      </c>
      <c r="H227" t="s">
        <v>135</v>
      </c>
      <c r="I227" t="s">
        <v>135</v>
      </c>
      <c r="J227">
        <v>1</v>
      </c>
      <c r="L227" t="s">
        <v>385</v>
      </c>
    </row>
    <row r="228" spans="2:12" x14ac:dyDescent="0.3">
      <c r="B228" t="s">
        <v>10</v>
      </c>
      <c r="C228" t="s">
        <v>135</v>
      </c>
      <c r="D228" t="s">
        <v>135</v>
      </c>
      <c r="E228" t="s">
        <v>135</v>
      </c>
      <c r="F228" t="s">
        <v>135</v>
      </c>
      <c r="G228" t="s">
        <v>135</v>
      </c>
      <c r="H228" t="s">
        <v>135</v>
      </c>
      <c r="I228" t="s">
        <v>135</v>
      </c>
      <c r="J228">
        <v>1</v>
      </c>
      <c r="L228" t="s">
        <v>401</v>
      </c>
    </row>
    <row r="229" spans="2:12" x14ac:dyDescent="0.3">
      <c r="B229" t="s">
        <v>10</v>
      </c>
      <c r="C229" t="s">
        <v>135</v>
      </c>
      <c r="D229" t="s">
        <v>135</v>
      </c>
      <c r="E229" t="s">
        <v>135</v>
      </c>
      <c r="F229" t="s">
        <v>135</v>
      </c>
      <c r="G229" t="s">
        <v>135</v>
      </c>
      <c r="H229" t="s">
        <v>135</v>
      </c>
      <c r="I229" t="s">
        <v>135</v>
      </c>
      <c r="J229">
        <v>1</v>
      </c>
      <c r="L229" t="s">
        <v>425</v>
      </c>
    </row>
    <row r="230" spans="2:12" x14ac:dyDescent="0.3">
      <c r="B230" t="s">
        <v>10</v>
      </c>
      <c r="C230" t="s">
        <v>135</v>
      </c>
      <c r="D230" t="s">
        <v>135</v>
      </c>
      <c r="E230" t="s">
        <v>135</v>
      </c>
      <c r="F230" t="s">
        <v>135</v>
      </c>
      <c r="G230" t="s">
        <v>135</v>
      </c>
      <c r="H230" t="s">
        <v>135</v>
      </c>
      <c r="I230" t="s">
        <v>135</v>
      </c>
      <c r="J230">
        <v>1</v>
      </c>
      <c r="L230" t="s">
        <v>439</v>
      </c>
    </row>
    <row r="231" spans="2:12" x14ac:dyDescent="0.3">
      <c r="B231" t="s">
        <v>3</v>
      </c>
      <c r="C231" t="s">
        <v>135</v>
      </c>
      <c r="D231" t="s">
        <v>135</v>
      </c>
      <c r="E231" t="s">
        <v>135</v>
      </c>
      <c r="F231" t="s">
        <v>135</v>
      </c>
      <c r="G231" t="s">
        <v>135</v>
      </c>
      <c r="H231" t="s">
        <v>135</v>
      </c>
      <c r="I231" t="s">
        <v>135</v>
      </c>
      <c r="J231">
        <v>1</v>
      </c>
      <c r="L231" t="s">
        <v>203</v>
      </c>
    </row>
    <row r="232" spans="2:12" x14ac:dyDescent="0.3">
      <c r="B232" t="s">
        <v>11</v>
      </c>
      <c r="C232">
        <v>3.9668999999999999</v>
      </c>
      <c r="D232">
        <v>5.8822000000000001</v>
      </c>
      <c r="E232">
        <v>20.294499999999999</v>
      </c>
      <c r="F232">
        <v>19.9177</v>
      </c>
      <c r="G232">
        <v>20.062000000000001</v>
      </c>
      <c r="H232">
        <v>29.813500000000001</v>
      </c>
      <c r="I232">
        <v>30.315000000000001</v>
      </c>
      <c r="J232">
        <v>1</v>
      </c>
      <c r="K232" t="s">
        <v>136</v>
      </c>
      <c r="L232" t="s">
        <v>211</v>
      </c>
    </row>
    <row r="233" spans="2:12" x14ac:dyDescent="0.3">
      <c r="B233" t="s">
        <v>11</v>
      </c>
      <c r="C233">
        <v>3.9556</v>
      </c>
      <c r="D233">
        <v>5.9221000000000004</v>
      </c>
      <c r="E233">
        <v>20.589500000000001</v>
      </c>
      <c r="F233">
        <v>20.082000000000001</v>
      </c>
      <c r="G233">
        <v>19.983599999999999</v>
      </c>
      <c r="H233">
        <v>29.8947</v>
      </c>
      <c r="I233">
        <v>30.85</v>
      </c>
      <c r="J233">
        <v>1</v>
      </c>
      <c r="K233" t="s">
        <v>136</v>
      </c>
      <c r="L233" t="s">
        <v>235</v>
      </c>
    </row>
    <row r="234" spans="2:12" x14ac:dyDescent="0.3">
      <c r="B234" t="s">
        <v>11</v>
      </c>
      <c r="C234">
        <v>3.9601999999999999</v>
      </c>
      <c r="D234">
        <v>5.8620000000000001</v>
      </c>
      <c r="E234">
        <v>19.365200000000002</v>
      </c>
      <c r="F234">
        <v>20.184100000000001</v>
      </c>
      <c r="G234">
        <v>20.4023</v>
      </c>
      <c r="H234">
        <v>30.115500000000001</v>
      </c>
      <c r="I234">
        <v>30.697800000000001</v>
      </c>
      <c r="J234">
        <v>1</v>
      </c>
      <c r="K234" t="s">
        <v>136</v>
      </c>
      <c r="L234" t="s">
        <v>254</v>
      </c>
    </row>
    <row r="235" spans="2:12" x14ac:dyDescent="0.3">
      <c r="B235" t="s">
        <v>11</v>
      </c>
      <c r="C235">
        <v>3.9765000000000001</v>
      </c>
      <c r="D235">
        <v>5.8719999999999999</v>
      </c>
      <c r="E235">
        <v>20.2927</v>
      </c>
      <c r="F235">
        <v>19.982500000000002</v>
      </c>
      <c r="G235">
        <v>20.195</v>
      </c>
      <c r="H235">
        <v>30.015899999999998</v>
      </c>
      <c r="I235">
        <v>30.656400000000001</v>
      </c>
      <c r="J235">
        <v>1</v>
      </c>
      <c r="K235" t="s">
        <v>136</v>
      </c>
      <c r="L235" t="s">
        <v>281</v>
      </c>
    </row>
    <row r="236" spans="2:12" x14ac:dyDescent="0.3">
      <c r="B236" t="s">
        <v>12</v>
      </c>
      <c r="C236">
        <v>1.9177</v>
      </c>
      <c r="D236">
        <v>2.8207</v>
      </c>
      <c r="E236">
        <v>10.133699999999999</v>
      </c>
      <c r="F236">
        <v>9.6624999999999996</v>
      </c>
      <c r="G236">
        <v>9.7355999999999998</v>
      </c>
      <c r="H236">
        <v>14.8391</v>
      </c>
      <c r="I236">
        <v>15.215199999999999</v>
      </c>
      <c r="J236">
        <v>1</v>
      </c>
      <c r="K236" t="s">
        <v>137</v>
      </c>
      <c r="L236" t="s">
        <v>212</v>
      </c>
    </row>
    <row r="237" spans="2:12" x14ac:dyDescent="0.3">
      <c r="B237" t="s">
        <v>12</v>
      </c>
      <c r="C237">
        <v>1.9173</v>
      </c>
      <c r="D237">
        <v>2.8191000000000002</v>
      </c>
      <c r="E237">
        <v>10.470599999999999</v>
      </c>
      <c r="F237">
        <v>9.7554999999999996</v>
      </c>
      <c r="G237">
        <v>9.7547999999999995</v>
      </c>
      <c r="H237">
        <v>14.824999999999999</v>
      </c>
      <c r="I237">
        <v>15.1457</v>
      </c>
      <c r="J237">
        <v>1</v>
      </c>
      <c r="K237" t="s">
        <v>137</v>
      </c>
      <c r="L237" t="s">
        <v>236</v>
      </c>
    </row>
    <row r="238" spans="2:12" x14ac:dyDescent="0.3">
      <c r="B238" t="s">
        <v>12</v>
      </c>
      <c r="C238">
        <v>1.9274</v>
      </c>
      <c r="D238">
        <v>2.8448000000000002</v>
      </c>
      <c r="E238">
        <v>10.191000000000001</v>
      </c>
      <c r="F238">
        <v>9.8399000000000001</v>
      </c>
      <c r="G238">
        <v>9.8935999999999993</v>
      </c>
      <c r="H238">
        <v>15.1073</v>
      </c>
      <c r="I238">
        <v>15.355</v>
      </c>
      <c r="J238">
        <v>1</v>
      </c>
      <c r="K238" t="s">
        <v>137</v>
      </c>
      <c r="L238" t="s">
        <v>255</v>
      </c>
    </row>
    <row r="239" spans="2:12" x14ac:dyDescent="0.3">
      <c r="B239" t="s">
        <v>12</v>
      </c>
      <c r="C239">
        <v>1.9212</v>
      </c>
      <c r="D239">
        <v>2.8420000000000001</v>
      </c>
      <c r="E239">
        <v>10.3886</v>
      </c>
      <c r="F239">
        <v>9.8477999999999994</v>
      </c>
      <c r="G239">
        <v>9.8652999999999995</v>
      </c>
      <c r="H239">
        <v>14.9771</v>
      </c>
      <c r="I239">
        <v>15.2012</v>
      </c>
      <c r="J239">
        <v>1</v>
      </c>
      <c r="K239" t="s">
        <v>137</v>
      </c>
      <c r="L239" t="s">
        <v>269</v>
      </c>
    </row>
    <row r="240" spans="2:12" x14ac:dyDescent="0.3">
      <c r="B240" t="s">
        <v>12</v>
      </c>
      <c r="C240">
        <v>1.9103000000000001</v>
      </c>
      <c r="D240">
        <v>2.823</v>
      </c>
      <c r="E240">
        <v>10.249499999999999</v>
      </c>
      <c r="F240">
        <v>9.7584</v>
      </c>
      <c r="G240">
        <v>9.7951999999999995</v>
      </c>
      <c r="H240">
        <v>14.966200000000001</v>
      </c>
      <c r="I240">
        <v>15.2127</v>
      </c>
      <c r="J240">
        <v>1</v>
      </c>
      <c r="K240" t="s">
        <v>137</v>
      </c>
      <c r="L240" t="s">
        <v>282</v>
      </c>
    </row>
    <row r="241" spans="2:12" x14ac:dyDescent="0.3">
      <c r="B241" t="s">
        <v>12</v>
      </c>
      <c r="C241">
        <v>1.9307000000000001</v>
      </c>
      <c r="D241">
        <v>2.8551000000000002</v>
      </c>
      <c r="E241">
        <v>10.347</v>
      </c>
      <c r="F241">
        <v>9.8511000000000006</v>
      </c>
      <c r="G241">
        <v>9.7986000000000004</v>
      </c>
      <c r="H241">
        <v>15.050700000000001</v>
      </c>
      <c r="I241">
        <v>15.3476</v>
      </c>
      <c r="J241">
        <v>1</v>
      </c>
      <c r="K241" t="s">
        <v>137</v>
      </c>
      <c r="L241" t="s">
        <v>306</v>
      </c>
    </row>
    <row r="242" spans="2:12" x14ac:dyDescent="0.3">
      <c r="B242" t="s">
        <v>12</v>
      </c>
      <c r="C242">
        <v>1.9329000000000001</v>
      </c>
      <c r="D242">
        <v>2.8249</v>
      </c>
      <c r="E242">
        <v>10.216100000000001</v>
      </c>
      <c r="F242">
        <v>9.7048000000000005</v>
      </c>
      <c r="G242">
        <v>9.7803000000000004</v>
      </c>
      <c r="H242">
        <v>14.7033</v>
      </c>
      <c r="I242">
        <v>15.199299999999999</v>
      </c>
      <c r="J242">
        <v>1</v>
      </c>
      <c r="K242" t="s">
        <v>137</v>
      </c>
      <c r="L242" t="s">
        <v>334</v>
      </c>
    </row>
    <row r="243" spans="2:12" x14ac:dyDescent="0.3">
      <c r="B243" t="s">
        <v>12</v>
      </c>
      <c r="C243">
        <v>1.8826000000000001</v>
      </c>
      <c r="D243">
        <v>2.8559999999999999</v>
      </c>
      <c r="E243">
        <v>10.5329</v>
      </c>
      <c r="F243">
        <v>9.7850999999999999</v>
      </c>
      <c r="G243">
        <v>9.9638000000000009</v>
      </c>
      <c r="H243">
        <v>15.138299999999999</v>
      </c>
      <c r="I243">
        <v>15.498799999999999</v>
      </c>
      <c r="J243">
        <v>1</v>
      </c>
      <c r="K243" t="s">
        <v>137</v>
      </c>
      <c r="L243" t="s">
        <v>360</v>
      </c>
    </row>
    <row r="244" spans="2:12" x14ac:dyDescent="0.3">
      <c r="B244" t="s">
        <v>12</v>
      </c>
      <c r="C244" t="s">
        <v>135</v>
      </c>
      <c r="D244" t="s">
        <v>135</v>
      </c>
      <c r="E244" t="s">
        <v>135</v>
      </c>
      <c r="F244" t="s">
        <v>135</v>
      </c>
      <c r="G244" t="s">
        <v>135</v>
      </c>
      <c r="H244" t="s">
        <v>135</v>
      </c>
      <c r="I244" t="s">
        <v>135</v>
      </c>
      <c r="J244">
        <v>1</v>
      </c>
      <c r="K244" t="s">
        <v>137</v>
      </c>
      <c r="L244" t="s">
        <v>384</v>
      </c>
    </row>
    <row r="245" spans="2:12" x14ac:dyDescent="0.3">
      <c r="B245" t="s">
        <v>12</v>
      </c>
      <c r="C245" t="s">
        <v>135</v>
      </c>
      <c r="D245" t="s">
        <v>135</v>
      </c>
      <c r="E245" t="s">
        <v>135</v>
      </c>
      <c r="F245" t="s">
        <v>135</v>
      </c>
      <c r="G245" t="s">
        <v>135</v>
      </c>
      <c r="H245" t="s">
        <v>135</v>
      </c>
      <c r="I245" t="s">
        <v>135</v>
      </c>
      <c r="J245">
        <v>1</v>
      </c>
      <c r="K245" t="s">
        <v>137</v>
      </c>
      <c r="L245" t="s">
        <v>400</v>
      </c>
    </row>
    <row r="246" spans="2:12" x14ac:dyDescent="0.3">
      <c r="B246" t="s">
        <v>12</v>
      </c>
      <c r="C246" t="s">
        <v>135</v>
      </c>
      <c r="D246" t="s">
        <v>135</v>
      </c>
      <c r="E246" t="s">
        <v>135</v>
      </c>
      <c r="F246" t="s">
        <v>135</v>
      </c>
      <c r="G246" t="s">
        <v>135</v>
      </c>
      <c r="H246" t="s">
        <v>135</v>
      </c>
      <c r="I246" t="s">
        <v>135</v>
      </c>
      <c r="J246">
        <v>1</v>
      </c>
      <c r="K246" t="s">
        <v>137</v>
      </c>
      <c r="L246" t="s">
        <v>424</v>
      </c>
    </row>
    <row r="247" spans="2:12" x14ac:dyDescent="0.3">
      <c r="B247" t="s">
        <v>12</v>
      </c>
      <c r="C247">
        <v>1.9610000000000001</v>
      </c>
      <c r="D247">
        <v>2.8521999999999998</v>
      </c>
      <c r="E247">
        <v>10.232799999999999</v>
      </c>
      <c r="F247">
        <v>9.9862000000000002</v>
      </c>
      <c r="G247">
        <v>10.026199999999999</v>
      </c>
      <c r="H247">
        <v>15.0029</v>
      </c>
      <c r="I247">
        <v>15.3088</v>
      </c>
      <c r="J247">
        <v>1</v>
      </c>
      <c r="K247" t="s">
        <v>137</v>
      </c>
      <c r="L247" t="s">
        <v>438</v>
      </c>
    </row>
    <row r="248" spans="2:12" x14ac:dyDescent="0.3">
      <c r="B248" t="s">
        <v>4</v>
      </c>
      <c r="C248">
        <v>0.51149999999999995</v>
      </c>
      <c r="D248">
        <v>0.49080000000000001</v>
      </c>
      <c r="E248">
        <v>0.49809999999999999</v>
      </c>
      <c r="F248">
        <v>0.46510000000000001</v>
      </c>
      <c r="G248">
        <v>0.44469999999999998</v>
      </c>
      <c r="H248">
        <v>0.4753</v>
      </c>
      <c r="I248">
        <v>0.53610000000000002</v>
      </c>
      <c r="J248">
        <v>1</v>
      </c>
      <c r="L248" t="s">
        <v>204</v>
      </c>
    </row>
    <row r="249" spans="2:12" x14ac:dyDescent="0.3">
      <c r="B249" t="s">
        <v>5</v>
      </c>
      <c r="C249">
        <v>2.3767999999999998</v>
      </c>
      <c r="D249">
        <v>2.4245000000000001</v>
      </c>
      <c r="E249">
        <v>2.57</v>
      </c>
      <c r="F249">
        <v>2.1234999999999999</v>
      </c>
      <c r="G249">
        <v>2.3700999999999999</v>
      </c>
      <c r="H249">
        <v>2.3123</v>
      </c>
      <c r="I249">
        <v>2.4617</v>
      </c>
      <c r="J249">
        <v>1</v>
      </c>
      <c r="L249" t="s">
        <v>205</v>
      </c>
    </row>
    <row r="250" spans="2:12" x14ac:dyDescent="0.3">
      <c r="B250" t="s">
        <v>6</v>
      </c>
      <c r="C250">
        <v>5.1161000000000003</v>
      </c>
      <c r="D250">
        <v>4.8209999999999997</v>
      </c>
      <c r="E250">
        <v>4.9983000000000004</v>
      </c>
      <c r="F250">
        <v>4.8124000000000002</v>
      </c>
      <c r="G250">
        <v>4.6593</v>
      </c>
      <c r="H250">
        <v>4.4256000000000002</v>
      </c>
      <c r="I250">
        <v>4.8341000000000003</v>
      </c>
      <c r="J250">
        <v>1</v>
      </c>
      <c r="L250" t="s">
        <v>206</v>
      </c>
    </row>
    <row r="251" spans="2:12" x14ac:dyDescent="0.3">
      <c r="B251" t="s">
        <v>7</v>
      </c>
      <c r="C251">
        <v>10.5204</v>
      </c>
      <c r="D251">
        <v>10.1305</v>
      </c>
      <c r="E251">
        <v>9.9760000000000009</v>
      </c>
      <c r="F251">
        <v>9.7725000000000009</v>
      </c>
      <c r="G251">
        <v>9.2763000000000009</v>
      </c>
      <c r="H251">
        <v>10.037000000000001</v>
      </c>
      <c r="I251">
        <v>10.0083</v>
      </c>
      <c r="J251">
        <v>1</v>
      </c>
      <c r="L251" t="s">
        <v>207</v>
      </c>
    </row>
    <row r="252" spans="2:12" x14ac:dyDescent="0.3">
      <c r="B252" t="s">
        <v>8</v>
      </c>
      <c r="C252">
        <v>26.0565</v>
      </c>
      <c r="D252">
        <v>24.989100000000001</v>
      </c>
      <c r="E252">
        <v>25.002800000000001</v>
      </c>
      <c r="F252">
        <v>25.234300000000001</v>
      </c>
      <c r="G252">
        <v>25.496600000000001</v>
      </c>
      <c r="H252">
        <v>25.165500000000002</v>
      </c>
      <c r="I252">
        <v>25.049199999999999</v>
      </c>
      <c r="J252">
        <v>1</v>
      </c>
      <c r="L252" t="s">
        <v>208</v>
      </c>
    </row>
    <row r="253" spans="2:12" x14ac:dyDescent="0.3">
      <c r="B253" t="s">
        <v>9</v>
      </c>
      <c r="C253">
        <v>49.3247</v>
      </c>
      <c r="D253">
        <v>38.756100000000004</v>
      </c>
      <c r="E253">
        <v>44.175800000000002</v>
      </c>
      <c r="F253">
        <v>49.960500000000003</v>
      </c>
      <c r="G253">
        <v>49.9193</v>
      </c>
      <c r="H253">
        <v>49.969000000000001</v>
      </c>
      <c r="I253">
        <v>49.991199999999999</v>
      </c>
      <c r="J253">
        <v>1</v>
      </c>
      <c r="L253" t="s">
        <v>209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73"/>
  <sheetViews>
    <sheetView workbookViewId="0">
      <pane ySplit="1" topLeftCell="A23" activePane="bottomLeft" state="frozen"/>
      <selection pane="bottomLeft" sqref="A1:IV65536"/>
    </sheetView>
  </sheetViews>
  <sheetFormatPr defaultRowHeight="14.4" x14ac:dyDescent="0.3"/>
  <cols>
    <col min="2" max="2" width="34.6640625" customWidth="1"/>
    <col min="5" max="5" width="11.109375" bestFit="1" customWidth="1"/>
    <col min="6" max="6" width="13.44140625" customWidth="1"/>
    <col min="7" max="8" width="12.109375" customWidth="1"/>
    <col min="9" max="9" width="11.5546875" customWidth="1"/>
    <col min="11" max="11" width="8.44140625" customWidth="1"/>
    <col min="12" max="12" width="35.88671875" customWidth="1"/>
  </cols>
  <sheetData>
    <row r="1" spans="2:12" x14ac:dyDescent="0.3">
      <c r="B1" s="1" t="s">
        <v>0</v>
      </c>
      <c r="C1" s="1" t="s">
        <v>1</v>
      </c>
      <c r="D1" s="1" t="s">
        <v>2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</row>
    <row r="2" spans="2:12" x14ac:dyDescent="0.3">
      <c r="B2" t="s">
        <v>23</v>
      </c>
      <c r="C2">
        <v>4.0355999999999996</v>
      </c>
      <c r="D2">
        <v>5.9032</v>
      </c>
      <c r="E2">
        <v>19.351700000000001</v>
      </c>
      <c r="F2">
        <v>20.1127</v>
      </c>
      <c r="G2">
        <v>20.175799999999999</v>
      </c>
      <c r="H2">
        <v>30.3291</v>
      </c>
      <c r="I2">
        <v>30.258500000000002</v>
      </c>
      <c r="J2">
        <v>1</v>
      </c>
      <c r="K2" t="s">
        <v>136</v>
      </c>
      <c r="L2" t="s">
        <v>585</v>
      </c>
    </row>
    <row r="3" spans="2:12" x14ac:dyDescent="0.3">
      <c r="B3" t="s">
        <v>23</v>
      </c>
      <c r="C3">
        <v>4.4358000000000004</v>
      </c>
      <c r="D3">
        <v>6.5735000000000001</v>
      </c>
      <c r="E3">
        <v>22.297499999999999</v>
      </c>
      <c r="F3">
        <v>23.146000000000001</v>
      </c>
      <c r="G3">
        <v>23.438600000000001</v>
      </c>
      <c r="H3">
        <v>36.089100000000002</v>
      </c>
      <c r="I3">
        <v>35.613100000000003</v>
      </c>
      <c r="J3">
        <v>1</v>
      </c>
      <c r="K3" t="s">
        <v>136</v>
      </c>
      <c r="L3" t="s">
        <v>611</v>
      </c>
    </row>
    <row r="4" spans="2:12" x14ac:dyDescent="0.3">
      <c r="B4" t="s">
        <v>23</v>
      </c>
      <c r="C4">
        <v>3.9824000000000002</v>
      </c>
      <c r="D4">
        <v>5.952</v>
      </c>
      <c r="E4">
        <v>19.376999999999999</v>
      </c>
      <c r="F4">
        <v>19.791599999999999</v>
      </c>
      <c r="G4">
        <v>20.085000000000001</v>
      </c>
      <c r="H4">
        <v>30.062899999999999</v>
      </c>
      <c r="I4">
        <v>30.185500000000001</v>
      </c>
      <c r="J4">
        <v>1</v>
      </c>
      <c r="K4" t="s">
        <v>136</v>
      </c>
      <c r="L4" t="s">
        <v>622</v>
      </c>
    </row>
    <row r="5" spans="2:12" x14ac:dyDescent="0.3">
      <c r="B5" t="s">
        <v>23</v>
      </c>
      <c r="C5">
        <v>4.0625</v>
      </c>
      <c r="D5">
        <v>6.0228000000000002</v>
      </c>
      <c r="E5">
        <v>19.6525</v>
      </c>
      <c r="F5">
        <v>20.341200000000001</v>
      </c>
      <c r="G5">
        <v>20.017499999999998</v>
      </c>
      <c r="H5">
        <v>30.4832</v>
      </c>
      <c r="I5">
        <v>30.526599999999998</v>
      </c>
      <c r="J5">
        <v>1</v>
      </c>
      <c r="K5" t="s">
        <v>136</v>
      </c>
      <c r="L5" t="s">
        <v>606</v>
      </c>
    </row>
    <row r="6" spans="2:12" x14ac:dyDescent="0.3">
      <c r="B6" t="s">
        <v>23</v>
      </c>
      <c r="C6">
        <v>4.016</v>
      </c>
      <c r="D6">
        <v>6.0492999999999997</v>
      </c>
      <c r="E6">
        <v>19.373899999999999</v>
      </c>
      <c r="F6">
        <v>20.276299999999999</v>
      </c>
      <c r="G6">
        <v>20.294</v>
      </c>
      <c r="H6">
        <v>30.997499999999999</v>
      </c>
      <c r="I6">
        <v>30.560199999999998</v>
      </c>
      <c r="J6">
        <v>1</v>
      </c>
      <c r="K6" t="s">
        <v>136</v>
      </c>
      <c r="L6" t="s">
        <v>636</v>
      </c>
    </row>
    <row r="7" spans="2:12" x14ac:dyDescent="0.3">
      <c r="B7" t="s">
        <v>538</v>
      </c>
      <c r="C7">
        <v>0.82310000000000005</v>
      </c>
      <c r="D7">
        <v>30.397500000000001</v>
      </c>
      <c r="E7" t="s">
        <v>135</v>
      </c>
      <c r="F7" t="s">
        <v>135</v>
      </c>
      <c r="G7" t="s">
        <v>135</v>
      </c>
      <c r="H7" t="s">
        <v>135</v>
      </c>
      <c r="I7" t="s">
        <v>135</v>
      </c>
      <c r="J7">
        <v>1</v>
      </c>
      <c r="L7" t="s">
        <v>604</v>
      </c>
    </row>
    <row r="8" spans="2:12" x14ac:dyDescent="0.3">
      <c r="B8" t="s">
        <v>562</v>
      </c>
      <c r="C8" t="s">
        <v>135</v>
      </c>
      <c r="D8">
        <v>31.9908</v>
      </c>
      <c r="E8" t="s">
        <v>135</v>
      </c>
      <c r="F8" t="s">
        <v>135</v>
      </c>
      <c r="G8" t="s">
        <v>135</v>
      </c>
      <c r="H8" t="s">
        <v>135</v>
      </c>
      <c r="I8">
        <v>1092.2411999999999</v>
      </c>
      <c r="J8">
        <v>100</v>
      </c>
      <c r="L8" t="s">
        <v>633</v>
      </c>
    </row>
    <row r="9" spans="2:12" x14ac:dyDescent="0.3">
      <c r="B9" t="s">
        <v>548</v>
      </c>
      <c r="C9">
        <v>0.95189999999999997</v>
      </c>
      <c r="D9">
        <v>33.411299999999997</v>
      </c>
      <c r="E9" t="s">
        <v>135</v>
      </c>
      <c r="F9" t="s">
        <v>135</v>
      </c>
      <c r="G9" t="s">
        <v>135</v>
      </c>
      <c r="H9" t="s">
        <v>135</v>
      </c>
      <c r="I9">
        <v>1309.7284</v>
      </c>
      <c r="J9">
        <v>20</v>
      </c>
      <c r="L9" t="s">
        <v>620</v>
      </c>
    </row>
    <row r="10" spans="2:12" x14ac:dyDescent="0.3">
      <c r="B10" t="s">
        <v>551</v>
      </c>
      <c r="C10">
        <v>0.81510000000000005</v>
      </c>
      <c r="D10">
        <v>30.3782</v>
      </c>
      <c r="E10" t="s">
        <v>135</v>
      </c>
      <c r="F10" t="s">
        <v>135</v>
      </c>
      <c r="G10" t="s">
        <v>135</v>
      </c>
      <c r="H10" t="s">
        <v>135</v>
      </c>
      <c r="I10" t="s">
        <v>135</v>
      </c>
      <c r="J10">
        <v>1</v>
      </c>
      <c r="L10" t="s">
        <v>603</v>
      </c>
    </row>
    <row r="11" spans="2:12" x14ac:dyDescent="0.3">
      <c r="B11" t="s">
        <v>561</v>
      </c>
      <c r="C11" t="s">
        <v>135</v>
      </c>
      <c r="D11">
        <v>28.1648</v>
      </c>
      <c r="E11" t="s">
        <v>135</v>
      </c>
      <c r="F11" t="s">
        <v>135</v>
      </c>
      <c r="G11" t="s">
        <v>135</v>
      </c>
      <c r="H11" t="s">
        <v>135</v>
      </c>
      <c r="I11">
        <v>1156.5084999999999</v>
      </c>
      <c r="J11">
        <v>100</v>
      </c>
      <c r="L11" t="s">
        <v>632</v>
      </c>
    </row>
    <row r="12" spans="2:12" x14ac:dyDescent="0.3">
      <c r="B12" t="s">
        <v>553</v>
      </c>
      <c r="C12">
        <v>0.99880000000000002</v>
      </c>
      <c r="D12">
        <v>39.077500000000001</v>
      </c>
      <c r="E12" t="s">
        <v>135</v>
      </c>
      <c r="F12" t="s">
        <v>135</v>
      </c>
      <c r="G12" t="s">
        <v>135</v>
      </c>
      <c r="H12" t="s">
        <v>135</v>
      </c>
      <c r="I12">
        <v>1482.4114</v>
      </c>
      <c r="J12">
        <v>20</v>
      </c>
      <c r="L12" t="s">
        <v>619</v>
      </c>
    </row>
    <row r="13" spans="2:12" x14ac:dyDescent="0.3">
      <c r="B13" t="s">
        <v>552</v>
      </c>
      <c r="C13">
        <v>0.80230000000000001</v>
      </c>
      <c r="D13">
        <v>30.540299999999998</v>
      </c>
      <c r="E13" t="s">
        <v>135</v>
      </c>
      <c r="F13" t="s">
        <v>135</v>
      </c>
      <c r="G13" t="s">
        <v>135</v>
      </c>
      <c r="H13" t="s">
        <v>135</v>
      </c>
      <c r="I13" t="s">
        <v>135</v>
      </c>
      <c r="J13">
        <v>1</v>
      </c>
      <c r="L13" t="s">
        <v>605</v>
      </c>
    </row>
    <row r="14" spans="2:12" x14ac:dyDescent="0.3">
      <c r="B14" t="s">
        <v>554</v>
      </c>
      <c r="C14">
        <v>1.07</v>
      </c>
      <c r="D14">
        <v>39.9574</v>
      </c>
      <c r="E14" t="s">
        <v>135</v>
      </c>
      <c r="F14" t="s">
        <v>135</v>
      </c>
      <c r="G14" t="s">
        <v>135</v>
      </c>
      <c r="H14" t="s">
        <v>135</v>
      </c>
      <c r="I14">
        <v>1550.7207000000001</v>
      </c>
      <c r="J14">
        <v>20</v>
      </c>
      <c r="L14" t="s">
        <v>621</v>
      </c>
    </row>
    <row r="15" spans="2:12" x14ac:dyDescent="0.3">
      <c r="B15" t="s">
        <v>563</v>
      </c>
      <c r="C15" t="s">
        <v>135</v>
      </c>
      <c r="D15">
        <v>33.2742</v>
      </c>
      <c r="E15" t="s">
        <v>135</v>
      </c>
      <c r="F15" t="s">
        <v>135</v>
      </c>
      <c r="G15" t="s">
        <v>135</v>
      </c>
      <c r="H15" t="s">
        <v>135</v>
      </c>
      <c r="I15">
        <v>1078.1950999999999</v>
      </c>
      <c r="J15">
        <v>100</v>
      </c>
      <c r="L15" t="s">
        <v>634</v>
      </c>
    </row>
    <row r="16" spans="2:12" x14ac:dyDescent="0.3">
      <c r="B16" t="s">
        <v>521</v>
      </c>
      <c r="C16">
        <v>0.3226</v>
      </c>
      <c r="D16">
        <v>10.8231</v>
      </c>
      <c r="E16" t="s">
        <v>135</v>
      </c>
      <c r="F16" t="s">
        <v>135</v>
      </c>
      <c r="G16" t="s">
        <v>135</v>
      </c>
      <c r="H16" t="s">
        <v>135</v>
      </c>
      <c r="I16">
        <v>51.831600000000002</v>
      </c>
      <c r="J16">
        <v>1</v>
      </c>
      <c r="L16" t="s">
        <v>582</v>
      </c>
    </row>
    <row r="17" spans="2:12" x14ac:dyDescent="0.3">
      <c r="B17" t="s">
        <v>540</v>
      </c>
      <c r="C17">
        <v>0.34949999999999998</v>
      </c>
      <c r="D17">
        <v>10.3565</v>
      </c>
      <c r="E17" t="s">
        <v>135</v>
      </c>
      <c r="F17" t="s">
        <v>135</v>
      </c>
      <c r="G17" t="s">
        <v>135</v>
      </c>
      <c r="H17" t="s">
        <v>135</v>
      </c>
      <c r="I17">
        <v>183.6806</v>
      </c>
      <c r="J17">
        <v>2</v>
      </c>
      <c r="L17" t="s">
        <v>609</v>
      </c>
    </row>
    <row r="18" spans="2:12" x14ac:dyDescent="0.3">
      <c r="B18" t="s">
        <v>560</v>
      </c>
      <c r="C18" t="s">
        <v>135</v>
      </c>
      <c r="D18">
        <v>9.9148999999999994</v>
      </c>
      <c r="E18" t="s">
        <v>135</v>
      </c>
      <c r="F18" t="s">
        <v>135</v>
      </c>
      <c r="G18" t="s">
        <v>135</v>
      </c>
      <c r="H18" t="s">
        <v>135</v>
      </c>
      <c r="I18">
        <v>234.78020000000001</v>
      </c>
      <c r="J18">
        <v>5</v>
      </c>
      <c r="L18" t="s">
        <v>631</v>
      </c>
    </row>
    <row r="19" spans="2:12" x14ac:dyDescent="0.3">
      <c r="B19" t="s">
        <v>525</v>
      </c>
      <c r="C19">
        <v>0.33510000000000001</v>
      </c>
      <c r="D19">
        <v>10.8177</v>
      </c>
      <c r="E19" t="s">
        <v>135</v>
      </c>
      <c r="F19" t="s">
        <v>135</v>
      </c>
      <c r="G19" t="s">
        <v>135</v>
      </c>
      <c r="H19" t="s">
        <v>135</v>
      </c>
      <c r="I19">
        <v>54.672800000000002</v>
      </c>
      <c r="J19">
        <v>1</v>
      </c>
      <c r="L19" t="s">
        <v>587</v>
      </c>
    </row>
    <row r="20" spans="2:12" x14ac:dyDescent="0.3">
      <c r="B20" t="s">
        <v>541</v>
      </c>
      <c r="C20">
        <v>0.3483</v>
      </c>
      <c r="D20">
        <v>10.1511</v>
      </c>
      <c r="E20" t="s">
        <v>135</v>
      </c>
      <c r="F20" t="s">
        <v>135</v>
      </c>
      <c r="G20" t="s">
        <v>135</v>
      </c>
      <c r="H20" t="s">
        <v>135</v>
      </c>
      <c r="I20">
        <v>182.17009999999999</v>
      </c>
      <c r="J20">
        <v>2</v>
      </c>
      <c r="L20" t="s">
        <v>612</v>
      </c>
    </row>
    <row r="21" spans="2:12" x14ac:dyDescent="0.3">
      <c r="B21" t="s">
        <v>559</v>
      </c>
      <c r="C21" t="s">
        <v>135</v>
      </c>
      <c r="D21">
        <v>9.7187000000000001</v>
      </c>
      <c r="E21" t="s">
        <v>135</v>
      </c>
      <c r="F21" t="s">
        <v>135</v>
      </c>
      <c r="G21" t="s">
        <v>135</v>
      </c>
      <c r="H21" t="s">
        <v>135</v>
      </c>
      <c r="I21">
        <v>226.8477</v>
      </c>
      <c r="J21">
        <v>5</v>
      </c>
      <c r="L21" t="s">
        <v>630</v>
      </c>
    </row>
    <row r="22" spans="2:12" x14ac:dyDescent="0.3">
      <c r="B22" t="s">
        <v>537</v>
      </c>
      <c r="C22">
        <v>0.15859999999999999</v>
      </c>
      <c r="D22">
        <v>9.7421000000000006</v>
      </c>
      <c r="E22" t="s">
        <v>135</v>
      </c>
      <c r="F22" t="s">
        <v>135</v>
      </c>
      <c r="G22" t="s">
        <v>135</v>
      </c>
      <c r="H22" t="s">
        <v>135</v>
      </c>
      <c r="I22">
        <v>96.365700000000004</v>
      </c>
      <c r="J22">
        <v>1</v>
      </c>
      <c r="L22" t="s">
        <v>602</v>
      </c>
    </row>
    <row r="23" spans="2:12" x14ac:dyDescent="0.3">
      <c r="B23" t="s">
        <v>547</v>
      </c>
      <c r="C23">
        <v>0.157</v>
      </c>
      <c r="D23">
        <v>8.7640999999999991</v>
      </c>
      <c r="E23" t="s">
        <v>135</v>
      </c>
      <c r="F23" t="s">
        <v>135</v>
      </c>
      <c r="G23" t="s">
        <v>135</v>
      </c>
      <c r="H23" t="s">
        <v>135</v>
      </c>
      <c r="I23">
        <v>143.57749999999999</v>
      </c>
      <c r="J23">
        <v>5</v>
      </c>
      <c r="L23" t="s">
        <v>618</v>
      </c>
    </row>
    <row r="24" spans="2:12" x14ac:dyDescent="0.3">
      <c r="B24" t="s">
        <v>534</v>
      </c>
      <c r="C24">
        <v>0.1588</v>
      </c>
      <c r="D24">
        <v>12.6942</v>
      </c>
      <c r="E24" t="s">
        <v>135</v>
      </c>
      <c r="F24" t="s">
        <v>135</v>
      </c>
      <c r="G24" t="s">
        <v>135</v>
      </c>
      <c r="H24" t="s">
        <v>135</v>
      </c>
      <c r="I24">
        <v>96.366600000000005</v>
      </c>
      <c r="J24">
        <v>1</v>
      </c>
      <c r="L24" t="s">
        <v>599</v>
      </c>
    </row>
    <row r="25" spans="2:12" x14ac:dyDescent="0.3">
      <c r="B25" t="s">
        <v>546</v>
      </c>
      <c r="C25">
        <v>0.17829999999999999</v>
      </c>
      <c r="D25">
        <v>12.242599999999999</v>
      </c>
      <c r="E25" t="s">
        <v>135</v>
      </c>
      <c r="F25" t="s">
        <v>135</v>
      </c>
      <c r="G25" t="s">
        <v>135</v>
      </c>
      <c r="H25" t="s">
        <v>135</v>
      </c>
      <c r="I25">
        <v>156.32149999999999</v>
      </c>
      <c r="J25">
        <v>5</v>
      </c>
      <c r="L25" t="s">
        <v>617</v>
      </c>
    </row>
    <row r="26" spans="2:12" x14ac:dyDescent="0.3">
      <c r="B26" t="s">
        <v>535</v>
      </c>
      <c r="C26">
        <v>2.0779999999999998</v>
      </c>
      <c r="D26">
        <v>14.451700000000001</v>
      </c>
      <c r="E26">
        <v>9.3520000000000003</v>
      </c>
      <c r="F26">
        <v>9.7179000000000002</v>
      </c>
      <c r="G26">
        <v>9.9365000000000006</v>
      </c>
      <c r="H26">
        <v>14.3993</v>
      </c>
      <c r="I26">
        <v>96.360799999999998</v>
      </c>
      <c r="J26">
        <v>1</v>
      </c>
      <c r="K26" t="s">
        <v>139</v>
      </c>
      <c r="L26" t="s">
        <v>600</v>
      </c>
    </row>
    <row r="27" spans="2:12" x14ac:dyDescent="0.3">
      <c r="B27" t="s">
        <v>536</v>
      </c>
      <c r="C27">
        <v>2.4373999999999998</v>
      </c>
      <c r="D27">
        <v>14.9436</v>
      </c>
      <c r="E27">
        <v>10.7338</v>
      </c>
      <c r="F27">
        <v>12.020799999999999</v>
      </c>
      <c r="G27">
        <v>12.090999999999999</v>
      </c>
      <c r="H27">
        <v>17.764800000000001</v>
      </c>
      <c r="I27">
        <v>96.340599999999995</v>
      </c>
      <c r="J27">
        <v>1</v>
      </c>
      <c r="K27" t="s">
        <v>139</v>
      </c>
      <c r="L27" t="s">
        <v>601</v>
      </c>
    </row>
    <row r="28" spans="2:12" x14ac:dyDescent="0.3">
      <c r="B28" t="s">
        <v>522</v>
      </c>
      <c r="C28" t="s">
        <v>135</v>
      </c>
      <c r="D28" t="s">
        <v>135</v>
      </c>
      <c r="E28" t="s">
        <v>135</v>
      </c>
      <c r="F28" t="s">
        <v>135</v>
      </c>
      <c r="G28">
        <v>7.2169999999999996</v>
      </c>
      <c r="H28" t="s">
        <v>135</v>
      </c>
      <c r="I28" t="s">
        <v>135</v>
      </c>
      <c r="J28">
        <v>1</v>
      </c>
      <c r="L28" t="s">
        <v>583</v>
      </c>
    </row>
    <row r="29" spans="2:12" x14ac:dyDescent="0.3">
      <c r="B29" t="s">
        <v>639</v>
      </c>
      <c r="C29" t="s">
        <v>135</v>
      </c>
      <c r="D29">
        <v>130.4075</v>
      </c>
      <c r="E29" t="s">
        <v>135</v>
      </c>
      <c r="F29" t="s">
        <v>135</v>
      </c>
      <c r="G29" t="s">
        <v>135</v>
      </c>
      <c r="H29" t="s">
        <v>135</v>
      </c>
      <c r="I29">
        <v>2450.2950999999998</v>
      </c>
      <c r="J29">
        <v>50</v>
      </c>
      <c r="L29" t="s">
        <v>610</v>
      </c>
    </row>
    <row r="30" spans="2:12" x14ac:dyDescent="0.3">
      <c r="B30" t="s">
        <v>520</v>
      </c>
      <c r="C30" t="s">
        <v>135</v>
      </c>
      <c r="D30" t="s">
        <v>135</v>
      </c>
      <c r="E30" t="s">
        <v>135</v>
      </c>
      <c r="F30" t="s">
        <v>135</v>
      </c>
      <c r="G30">
        <v>9.0718999999999994</v>
      </c>
      <c r="H30" t="s">
        <v>135</v>
      </c>
      <c r="I30" t="s">
        <v>135</v>
      </c>
      <c r="J30">
        <v>1</v>
      </c>
      <c r="L30" t="s">
        <v>581</v>
      </c>
    </row>
    <row r="31" spans="2:12" x14ac:dyDescent="0.3">
      <c r="B31" t="s">
        <v>564</v>
      </c>
      <c r="C31" t="s">
        <v>135</v>
      </c>
      <c r="D31">
        <v>121.6348</v>
      </c>
      <c r="E31" t="s">
        <v>135</v>
      </c>
      <c r="F31" t="s">
        <v>135</v>
      </c>
      <c r="G31" t="s">
        <v>135</v>
      </c>
      <c r="H31" t="s">
        <v>135</v>
      </c>
      <c r="I31">
        <v>2289.3661999999999</v>
      </c>
      <c r="J31">
        <v>200</v>
      </c>
      <c r="L31" t="s">
        <v>635</v>
      </c>
    </row>
    <row r="32" spans="2:12" x14ac:dyDescent="0.3">
      <c r="B32" t="s">
        <v>638</v>
      </c>
      <c r="C32" t="s">
        <v>135</v>
      </c>
      <c r="D32">
        <v>141.7338</v>
      </c>
      <c r="E32" t="s">
        <v>135</v>
      </c>
      <c r="F32" t="s">
        <v>135</v>
      </c>
      <c r="G32" t="s">
        <v>135</v>
      </c>
      <c r="H32" t="s">
        <v>135</v>
      </c>
      <c r="I32">
        <v>2581.9578999999999</v>
      </c>
      <c r="J32">
        <v>50</v>
      </c>
      <c r="L32" t="s">
        <v>608</v>
      </c>
    </row>
    <row r="33" spans="2:12" x14ac:dyDescent="0.3">
      <c r="B33" t="s">
        <v>531</v>
      </c>
      <c r="C33">
        <v>0.23499999999999999</v>
      </c>
      <c r="D33">
        <v>3.7867999999999999</v>
      </c>
      <c r="E33" t="s">
        <v>135</v>
      </c>
      <c r="F33" t="s">
        <v>135</v>
      </c>
      <c r="G33" t="s">
        <v>135</v>
      </c>
      <c r="H33" t="s">
        <v>135</v>
      </c>
      <c r="I33">
        <v>87.009699999999995</v>
      </c>
      <c r="J33">
        <v>1</v>
      </c>
      <c r="L33" t="s">
        <v>593</v>
      </c>
    </row>
    <row r="34" spans="2:12" x14ac:dyDescent="0.3">
      <c r="B34" t="s">
        <v>544</v>
      </c>
      <c r="C34">
        <v>0.22620000000000001</v>
      </c>
      <c r="D34">
        <v>3.9575999999999998</v>
      </c>
      <c r="E34" t="s">
        <v>135</v>
      </c>
      <c r="F34" t="s">
        <v>135</v>
      </c>
      <c r="G34" t="s">
        <v>135</v>
      </c>
      <c r="H34" t="s">
        <v>135</v>
      </c>
      <c r="I34">
        <v>100.9923</v>
      </c>
      <c r="J34">
        <v>2</v>
      </c>
      <c r="L34" t="s">
        <v>615</v>
      </c>
    </row>
    <row r="35" spans="2:12" x14ac:dyDescent="0.3">
      <c r="B35" t="s">
        <v>533</v>
      </c>
      <c r="C35">
        <v>0.21190000000000001</v>
      </c>
      <c r="D35">
        <v>1.7788999999999999</v>
      </c>
      <c r="E35" t="s">
        <v>135</v>
      </c>
      <c r="F35" t="s">
        <v>135</v>
      </c>
      <c r="G35" t="s">
        <v>135</v>
      </c>
      <c r="H35" t="s">
        <v>135</v>
      </c>
      <c r="I35">
        <v>87.095299999999995</v>
      </c>
      <c r="J35">
        <v>1</v>
      </c>
      <c r="L35" t="s">
        <v>595</v>
      </c>
    </row>
    <row r="36" spans="2:12" x14ac:dyDescent="0.3">
      <c r="B36" t="s">
        <v>545</v>
      </c>
      <c r="C36">
        <v>0.22140000000000001</v>
      </c>
      <c r="D36">
        <v>1.7467999999999999</v>
      </c>
      <c r="E36" t="s">
        <v>135</v>
      </c>
      <c r="F36" t="s">
        <v>135</v>
      </c>
      <c r="G36" t="s">
        <v>135</v>
      </c>
      <c r="H36" t="s">
        <v>135</v>
      </c>
      <c r="I36">
        <v>100.73139999999999</v>
      </c>
      <c r="J36">
        <v>2</v>
      </c>
      <c r="L36" t="s">
        <v>616</v>
      </c>
    </row>
    <row r="37" spans="2:12" x14ac:dyDescent="0.3">
      <c r="B37" t="s">
        <v>529</v>
      </c>
      <c r="C37">
        <v>0.69779999999999998</v>
      </c>
      <c r="D37">
        <v>14.147</v>
      </c>
      <c r="E37" t="s">
        <v>135</v>
      </c>
      <c r="F37" t="s">
        <v>135</v>
      </c>
      <c r="G37" t="s">
        <v>135</v>
      </c>
      <c r="H37">
        <v>1.2616000000000001</v>
      </c>
      <c r="I37">
        <v>40.304000000000002</v>
      </c>
      <c r="J37">
        <v>1</v>
      </c>
      <c r="L37" t="s">
        <v>591</v>
      </c>
    </row>
    <row r="38" spans="2:12" x14ac:dyDescent="0.3">
      <c r="B38" t="s">
        <v>518</v>
      </c>
      <c r="C38">
        <v>0.71560000000000001</v>
      </c>
      <c r="D38">
        <v>14.1424</v>
      </c>
      <c r="E38" t="s">
        <v>135</v>
      </c>
      <c r="F38" t="s">
        <v>135</v>
      </c>
      <c r="G38" t="s">
        <v>135</v>
      </c>
      <c r="H38">
        <v>1.1930000000000001</v>
      </c>
      <c r="I38">
        <v>40.760599999999997</v>
      </c>
      <c r="J38">
        <v>1</v>
      </c>
      <c r="L38" t="s">
        <v>579</v>
      </c>
    </row>
    <row r="39" spans="2:12" x14ac:dyDescent="0.3">
      <c r="B39" t="s">
        <v>527</v>
      </c>
      <c r="C39">
        <v>0.11700000000000001</v>
      </c>
      <c r="D39">
        <v>12.0274</v>
      </c>
      <c r="E39" t="s">
        <v>135</v>
      </c>
      <c r="F39" t="s">
        <v>135</v>
      </c>
      <c r="G39">
        <v>0.69720000000000004</v>
      </c>
      <c r="H39" t="s">
        <v>135</v>
      </c>
      <c r="I39">
        <v>23.711200000000002</v>
      </c>
      <c r="J39">
        <v>1</v>
      </c>
      <c r="L39" t="s">
        <v>589</v>
      </c>
    </row>
    <row r="40" spans="2:12" x14ac:dyDescent="0.3">
      <c r="B40" t="s">
        <v>528</v>
      </c>
      <c r="C40">
        <v>0.10199999999999999</v>
      </c>
      <c r="D40">
        <v>12.5504</v>
      </c>
      <c r="E40" t="s">
        <v>135</v>
      </c>
      <c r="F40" t="s">
        <v>135</v>
      </c>
      <c r="G40" t="s">
        <v>135</v>
      </c>
      <c r="H40" t="s">
        <v>135</v>
      </c>
      <c r="I40">
        <v>22.200800000000001</v>
      </c>
      <c r="J40">
        <v>1</v>
      </c>
      <c r="L40" t="s">
        <v>590</v>
      </c>
    </row>
    <row r="41" spans="2:12" x14ac:dyDescent="0.3">
      <c r="B41" t="s">
        <v>524</v>
      </c>
      <c r="C41" t="s">
        <v>135</v>
      </c>
      <c r="D41" t="s">
        <v>135</v>
      </c>
      <c r="E41" t="s">
        <v>135</v>
      </c>
      <c r="F41" t="s">
        <v>135</v>
      </c>
      <c r="G41" t="s">
        <v>135</v>
      </c>
      <c r="H41" t="s">
        <v>135</v>
      </c>
      <c r="I41" t="s">
        <v>135</v>
      </c>
      <c r="J41">
        <v>1</v>
      </c>
      <c r="L41" t="s">
        <v>586</v>
      </c>
    </row>
    <row r="42" spans="2:12" x14ac:dyDescent="0.3">
      <c r="B42" t="s">
        <v>519</v>
      </c>
      <c r="C42">
        <v>9.1600000000000001E-2</v>
      </c>
      <c r="D42">
        <v>5.1449999999999996</v>
      </c>
      <c r="E42" t="s">
        <v>135</v>
      </c>
      <c r="F42" t="s">
        <v>135</v>
      </c>
      <c r="G42" t="s">
        <v>135</v>
      </c>
      <c r="H42" t="s">
        <v>135</v>
      </c>
      <c r="I42">
        <v>10.74</v>
      </c>
      <c r="J42">
        <v>1</v>
      </c>
      <c r="L42" t="s">
        <v>580</v>
      </c>
    </row>
    <row r="43" spans="2:12" x14ac:dyDescent="0.3">
      <c r="B43" t="s">
        <v>532</v>
      </c>
      <c r="C43" t="s">
        <v>135</v>
      </c>
      <c r="D43">
        <v>20.480699999999999</v>
      </c>
      <c r="E43" t="s">
        <v>135</v>
      </c>
      <c r="F43" t="s">
        <v>135</v>
      </c>
      <c r="G43" t="s">
        <v>135</v>
      </c>
      <c r="H43" t="s">
        <v>135</v>
      </c>
      <c r="I43">
        <v>43.406300000000002</v>
      </c>
      <c r="J43">
        <v>1</v>
      </c>
      <c r="L43" t="s">
        <v>594</v>
      </c>
    </row>
    <row r="44" spans="2:12" x14ac:dyDescent="0.3">
      <c r="B44" t="s">
        <v>526</v>
      </c>
      <c r="C44">
        <v>0.1623</v>
      </c>
      <c r="D44" t="s">
        <v>135</v>
      </c>
      <c r="E44" t="s">
        <v>135</v>
      </c>
      <c r="F44" t="s">
        <v>135</v>
      </c>
      <c r="G44" t="s">
        <v>135</v>
      </c>
      <c r="H44" t="s">
        <v>135</v>
      </c>
      <c r="I44">
        <v>59.091099999999997</v>
      </c>
      <c r="J44">
        <v>1</v>
      </c>
      <c r="L44" t="s">
        <v>588</v>
      </c>
    </row>
    <row r="45" spans="2:12" x14ac:dyDescent="0.3">
      <c r="B45" t="s">
        <v>542</v>
      </c>
      <c r="C45">
        <v>0.2321</v>
      </c>
      <c r="D45">
        <v>155.82669999999999</v>
      </c>
      <c r="E45" t="s">
        <v>135</v>
      </c>
      <c r="F45" t="s">
        <v>135</v>
      </c>
      <c r="G45" t="s">
        <v>135</v>
      </c>
      <c r="H45" t="s">
        <v>135</v>
      </c>
      <c r="I45">
        <v>76.3797</v>
      </c>
      <c r="J45">
        <v>10</v>
      </c>
      <c r="L45" t="s">
        <v>613</v>
      </c>
    </row>
    <row r="46" spans="2:12" x14ac:dyDescent="0.3">
      <c r="B46" t="s">
        <v>523</v>
      </c>
      <c r="C46">
        <v>2.0500000000000001E-2</v>
      </c>
      <c r="D46">
        <v>0.75939999999999996</v>
      </c>
      <c r="E46" t="s">
        <v>135</v>
      </c>
      <c r="F46" t="s">
        <v>135</v>
      </c>
      <c r="G46">
        <v>0.47020000000000001</v>
      </c>
      <c r="H46" t="s">
        <v>135</v>
      </c>
      <c r="I46">
        <v>1.6307</v>
      </c>
      <c r="J46">
        <v>1</v>
      </c>
      <c r="L46" t="s">
        <v>584</v>
      </c>
    </row>
    <row r="47" spans="2:12" x14ac:dyDescent="0.3">
      <c r="B47" t="s">
        <v>550</v>
      </c>
      <c r="C47">
        <v>2.52E-2</v>
      </c>
      <c r="D47">
        <v>0.82689999999999997</v>
      </c>
      <c r="E47" t="s">
        <v>135</v>
      </c>
      <c r="F47" t="s">
        <v>135</v>
      </c>
      <c r="G47" t="s">
        <v>135</v>
      </c>
      <c r="H47" t="s">
        <v>135</v>
      </c>
      <c r="I47">
        <v>2.0737999999999999</v>
      </c>
      <c r="J47">
        <v>1</v>
      </c>
      <c r="L47" t="s">
        <v>578</v>
      </c>
    </row>
    <row r="48" spans="2:12" x14ac:dyDescent="0.3">
      <c r="B48" t="s">
        <v>530</v>
      </c>
      <c r="C48">
        <v>0.18709999999999999</v>
      </c>
      <c r="D48">
        <v>34.104500000000002</v>
      </c>
      <c r="E48" t="s">
        <v>135</v>
      </c>
      <c r="F48" t="s">
        <v>135</v>
      </c>
      <c r="G48" t="s">
        <v>135</v>
      </c>
      <c r="H48" t="s">
        <v>135</v>
      </c>
      <c r="I48">
        <v>9.8671000000000006</v>
      </c>
      <c r="J48">
        <v>1</v>
      </c>
      <c r="L48" t="s">
        <v>592</v>
      </c>
    </row>
    <row r="49" spans="2:12" x14ac:dyDescent="0.3">
      <c r="B49" t="s">
        <v>543</v>
      </c>
      <c r="C49">
        <v>0.19439999999999999</v>
      </c>
      <c r="D49">
        <v>64.134</v>
      </c>
      <c r="E49" t="s">
        <v>135</v>
      </c>
      <c r="F49" t="s">
        <v>135</v>
      </c>
      <c r="G49" t="s">
        <v>135</v>
      </c>
      <c r="H49" t="s">
        <v>135</v>
      </c>
      <c r="I49">
        <v>10.7864</v>
      </c>
      <c r="J49">
        <v>2</v>
      </c>
      <c r="L49" t="s">
        <v>614</v>
      </c>
    </row>
    <row r="50" spans="2:12" x14ac:dyDescent="0.3">
      <c r="B50" t="s">
        <v>558</v>
      </c>
      <c r="C50" t="s">
        <v>135</v>
      </c>
      <c r="D50">
        <v>72.204300000000003</v>
      </c>
      <c r="E50" t="s">
        <v>135</v>
      </c>
      <c r="F50" t="s">
        <v>135</v>
      </c>
      <c r="G50" t="s">
        <v>135</v>
      </c>
      <c r="H50" t="s">
        <v>135</v>
      </c>
      <c r="I50">
        <v>10.7149</v>
      </c>
      <c r="J50">
        <v>5</v>
      </c>
      <c r="L50" t="s">
        <v>629</v>
      </c>
    </row>
    <row r="51" spans="2:12" x14ac:dyDescent="0.3">
      <c r="B51" t="s">
        <v>516</v>
      </c>
      <c r="C51">
        <v>0.2094</v>
      </c>
      <c r="D51">
        <v>30.608799999999999</v>
      </c>
      <c r="E51" t="s">
        <v>135</v>
      </c>
      <c r="F51" t="s">
        <v>135</v>
      </c>
      <c r="G51" t="s">
        <v>135</v>
      </c>
      <c r="H51" t="s">
        <v>135</v>
      </c>
      <c r="I51">
        <v>11.7462</v>
      </c>
      <c r="J51">
        <v>1</v>
      </c>
      <c r="L51" t="s">
        <v>575</v>
      </c>
    </row>
    <row r="52" spans="2:12" x14ac:dyDescent="0.3">
      <c r="B52" t="s">
        <v>539</v>
      </c>
      <c r="C52" t="s">
        <v>135</v>
      </c>
      <c r="D52">
        <v>68.170299999999997</v>
      </c>
      <c r="E52" t="s">
        <v>135</v>
      </c>
      <c r="F52" t="s">
        <v>135</v>
      </c>
      <c r="G52" t="s">
        <v>135</v>
      </c>
      <c r="H52" t="s">
        <v>135</v>
      </c>
      <c r="I52">
        <v>12.6243</v>
      </c>
      <c r="J52">
        <v>2</v>
      </c>
      <c r="L52" t="s">
        <v>607</v>
      </c>
    </row>
    <row r="53" spans="2:12" x14ac:dyDescent="0.3">
      <c r="B53" t="s">
        <v>555</v>
      </c>
      <c r="C53" t="s">
        <v>135</v>
      </c>
      <c r="D53">
        <v>79.386700000000005</v>
      </c>
      <c r="E53" t="s">
        <v>135</v>
      </c>
      <c r="F53" t="s">
        <v>135</v>
      </c>
      <c r="G53" t="s">
        <v>135</v>
      </c>
      <c r="H53" t="s">
        <v>135</v>
      </c>
      <c r="I53">
        <v>11.2211</v>
      </c>
      <c r="J53">
        <v>5</v>
      </c>
      <c r="L53" t="s">
        <v>626</v>
      </c>
    </row>
    <row r="54" spans="2:12" x14ac:dyDescent="0.3">
      <c r="B54" t="s">
        <v>556</v>
      </c>
      <c r="C54">
        <v>9.8808000000000007</v>
      </c>
      <c r="D54">
        <v>93.841399999999993</v>
      </c>
      <c r="E54">
        <v>45.611400000000003</v>
      </c>
      <c r="F54">
        <v>49.2804</v>
      </c>
      <c r="G54">
        <v>49.380299999999998</v>
      </c>
      <c r="H54">
        <v>75.732799999999997</v>
      </c>
      <c r="I54">
        <v>87.477400000000003</v>
      </c>
      <c r="J54">
        <v>5</v>
      </c>
      <c r="K54" t="s">
        <v>637</v>
      </c>
      <c r="L54" t="s">
        <v>627</v>
      </c>
    </row>
    <row r="55" spans="2:12" x14ac:dyDescent="0.3">
      <c r="B55" t="s">
        <v>557</v>
      </c>
      <c r="C55">
        <v>10.106400000000001</v>
      </c>
      <c r="D55">
        <v>94.618899999999996</v>
      </c>
      <c r="E55">
        <v>47.231499999999997</v>
      </c>
      <c r="F55">
        <v>49.561799999999998</v>
      </c>
      <c r="G55">
        <v>49.995100000000001</v>
      </c>
      <c r="H55">
        <v>75.056399999999996</v>
      </c>
      <c r="I55">
        <v>89.752700000000004</v>
      </c>
      <c r="J55">
        <v>5</v>
      </c>
      <c r="K55" t="s">
        <v>637</v>
      </c>
      <c r="L55" t="s">
        <v>628</v>
      </c>
    </row>
    <row r="56" spans="2:12" x14ac:dyDescent="0.3">
      <c r="B56" t="s">
        <v>517</v>
      </c>
      <c r="C56">
        <v>1.9894000000000001</v>
      </c>
      <c r="D56">
        <v>33.350299999999997</v>
      </c>
      <c r="E56">
        <v>9.2367000000000008</v>
      </c>
      <c r="F56">
        <v>9.6880000000000006</v>
      </c>
      <c r="G56">
        <v>9.7954000000000008</v>
      </c>
      <c r="H56">
        <v>14.828099999999999</v>
      </c>
      <c r="I56">
        <v>25.704999999999998</v>
      </c>
      <c r="J56">
        <v>1</v>
      </c>
      <c r="K56" t="s">
        <v>138</v>
      </c>
      <c r="L56" t="s">
        <v>576</v>
      </c>
    </row>
    <row r="57" spans="2:12" x14ac:dyDescent="0.3">
      <c r="B57" t="s">
        <v>549</v>
      </c>
      <c r="C57">
        <v>2.1556000000000002</v>
      </c>
      <c r="D57">
        <v>33.444800000000001</v>
      </c>
      <c r="E57">
        <v>8.9547000000000008</v>
      </c>
      <c r="F57">
        <v>10.2156</v>
      </c>
      <c r="G57">
        <v>9.9878999999999998</v>
      </c>
      <c r="H57">
        <v>15.277200000000001</v>
      </c>
      <c r="I57">
        <v>26.025200000000002</v>
      </c>
      <c r="J57">
        <v>1</v>
      </c>
      <c r="K57" t="s">
        <v>138</v>
      </c>
      <c r="L57" t="s">
        <v>577</v>
      </c>
    </row>
    <row r="58" spans="2:12" x14ac:dyDescent="0.3">
      <c r="B58" t="s">
        <v>10</v>
      </c>
      <c r="C58" t="s">
        <v>135</v>
      </c>
      <c r="D58" t="s">
        <v>135</v>
      </c>
      <c r="E58" t="s">
        <v>135</v>
      </c>
      <c r="F58" t="s">
        <v>135</v>
      </c>
      <c r="G58" t="s">
        <v>135</v>
      </c>
      <c r="H58" t="s">
        <v>135</v>
      </c>
      <c r="I58" t="s">
        <v>135</v>
      </c>
      <c r="J58">
        <v>1</v>
      </c>
      <c r="L58" t="s">
        <v>572</v>
      </c>
    </row>
    <row r="59" spans="2:12" x14ac:dyDescent="0.3">
      <c r="B59" t="s">
        <v>10</v>
      </c>
      <c r="C59" t="s">
        <v>135</v>
      </c>
      <c r="D59" t="s">
        <v>135</v>
      </c>
      <c r="E59" t="s">
        <v>135</v>
      </c>
      <c r="F59" t="s">
        <v>135</v>
      </c>
      <c r="G59" t="s">
        <v>135</v>
      </c>
      <c r="H59" t="s">
        <v>135</v>
      </c>
      <c r="I59" t="s">
        <v>135</v>
      </c>
      <c r="J59">
        <v>1</v>
      </c>
      <c r="L59" t="s">
        <v>596</v>
      </c>
    </row>
    <row r="60" spans="2:12" x14ac:dyDescent="0.3">
      <c r="B60" t="s">
        <v>10</v>
      </c>
      <c r="C60" t="s">
        <v>135</v>
      </c>
      <c r="D60" t="s">
        <v>135</v>
      </c>
      <c r="E60" t="s">
        <v>135</v>
      </c>
      <c r="F60" t="s">
        <v>135</v>
      </c>
      <c r="G60" t="s">
        <v>135</v>
      </c>
      <c r="H60" t="s">
        <v>135</v>
      </c>
      <c r="I60" t="s">
        <v>135</v>
      </c>
      <c r="J60">
        <v>1</v>
      </c>
      <c r="L60" t="s">
        <v>625</v>
      </c>
    </row>
    <row r="61" spans="2:12" x14ac:dyDescent="0.3">
      <c r="B61" t="s">
        <v>3</v>
      </c>
      <c r="C61" t="s">
        <v>135</v>
      </c>
      <c r="D61" t="s">
        <v>135</v>
      </c>
      <c r="E61" t="s">
        <v>135</v>
      </c>
      <c r="F61" t="s">
        <v>135</v>
      </c>
      <c r="G61" t="s">
        <v>135</v>
      </c>
      <c r="H61" t="s">
        <v>135</v>
      </c>
      <c r="I61" t="s">
        <v>135</v>
      </c>
      <c r="J61">
        <v>1</v>
      </c>
      <c r="L61" t="s">
        <v>565</v>
      </c>
    </row>
    <row r="62" spans="2:12" x14ac:dyDescent="0.3">
      <c r="B62" t="s">
        <v>11</v>
      </c>
      <c r="C62">
        <v>4.0289999999999999</v>
      </c>
      <c r="D62">
        <v>5.9630000000000001</v>
      </c>
      <c r="E62">
        <v>19.422699999999999</v>
      </c>
      <c r="F62">
        <v>20.154900000000001</v>
      </c>
      <c r="G62">
        <v>20.207899999999999</v>
      </c>
      <c r="H62">
        <v>30.677199999999999</v>
      </c>
      <c r="I62">
        <v>30.411200000000001</v>
      </c>
      <c r="J62">
        <v>1</v>
      </c>
      <c r="K62" t="s">
        <v>136</v>
      </c>
      <c r="L62" t="s">
        <v>573</v>
      </c>
    </row>
    <row r="63" spans="2:12" x14ac:dyDescent="0.3">
      <c r="B63" t="s">
        <v>11</v>
      </c>
      <c r="C63">
        <v>4.0368000000000004</v>
      </c>
      <c r="D63">
        <v>6.0224000000000002</v>
      </c>
      <c r="E63">
        <v>19.627800000000001</v>
      </c>
      <c r="F63">
        <v>20.2286</v>
      </c>
      <c r="G63">
        <v>20.3078</v>
      </c>
      <c r="H63">
        <v>30.52</v>
      </c>
      <c r="I63">
        <v>30.5641</v>
      </c>
      <c r="J63">
        <v>1</v>
      </c>
      <c r="K63" t="s">
        <v>136</v>
      </c>
      <c r="L63" t="s">
        <v>597</v>
      </c>
    </row>
    <row r="64" spans="2:12" x14ac:dyDescent="0.3">
      <c r="B64" t="s">
        <v>11</v>
      </c>
      <c r="C64">
        <v>4.2343000000000002</v>
      </c>
      <c r="D64">
        <v>6.3140999999999998</v>
      </c>
      <c r="E64">
        <v>20.0075</v>
      </c>
      <c r="F64">
        <v>21.0015</v>
      </c>
      <c r="G64">
        <v>21.3202</v>
      </c>
      <c r="H64">
        <v>31.2224</v>
      </c>
      <c r="I64">
        <v>31.539200000000001</v>
      </c>
      <c r="J64">
        <v>1</v>
      </c>
      <c r="K64" t="s">
        <v>136</v>
      </c>
      <c r="L64" t="s">
        <v>623</v>
      </c>
    </row>
    <row r="65" spans="2:12" x14ac:dyDescent="0.3">
      <c r="B65" t="s">
        <v>12</v>
      </c>
      <c r="C65">
        <v>1.9669000000000001</v>
      </c>
      <c r="D65">
        <v>2.9222000000000001</v>
      </c>
      <c r="E65">
        <v>9.4898000000000007</v>
      </c>
      <c r="F65">
        <v>10.0022</v>
      </c>
      <c r="G65">
        <v>9.9149999999999991</v>
      </c>
      <c r="H65">
        <v>15.136100000000001</v>
      </c>
      <c r="I65">
        <v>15.163500000000001</v>
      </c>
      <c r="J65">
        <v>1</v>
      </c>
      <c r="K65" t="s">
        <v>137</v>
      </c>
      <c r="L65" t="s">
        <v>574</v>
      </c>
    </row>
    <row r="66" spans="2:12" x14ac:dyDescent="0.3">
      <c r="B66" t="s">
        <v>12</v>
      </c>
      <c r="C66">
        <v>1.9552</v>
      </c>
      <c r="D66">
        <v>2.8925000000000001</v>
      </c>
      <c r="E66">
        <v>9.4471000000000007</v>
      </c>
      <c r="F66">
        <v>9.8428000000000004</v>
      </c>
      <c r="G66">
        <v>9.9169999999999998</v>
      </c>
      <c r="H66">
        <v>15.1172</v>
      </c>
      <c r="I66">
        <v>15.0939</v>
      </c>
      <c r="J66">
        <v>1</v>
      </c>
      <c r="K66" t="s">
        <v>137</v>
      </c>
      <c r="L66" t="s">
        <v>598</v>
      </c>
    </row>
    <row r="67" spans="2:12" x14ac:dyDescent="0.3">
      <c r="B67" t="s">
        <v>12</v>
      </c>
      <c r="C67">
        <v>1.9894000000000001</v>
      </c>
      <c r="D67">
        <v>2.9517000000000002</v>
      </c>
      <c r="E67">
        <v>9.2329000000000008</v>
      </c>
      <c r="F67">
        <v>9.9633000000000003</v>
      </c>
      <c r="G67">
        <v>10.107699999999999</v>
      </c>
      <c r="H67">
        <v>15.387600000000001</v>
      </c>
      <c r="I67">
        <v>15.116300000000001</v>
      </c>
      <c r="J67">
        <v>1</v>
      </c>
      <c r="K67" t="s">
        <v>137</v>
      </c>
      <c r="L67" t="s">
        <v>624</v>
      </c>
    </row>
    <row r="68" spans="2:12" x14ac:dyDescent="0.3">
      <c r="B68" t="s">
        <v>4</v>
      </c>
      <c r="C68">
        <v>0.4531</v>
      </c>
      <c r="D68">
        <v>0.56289999999999996</v>
      </c>
      <c r="E68">
        <v>0.84719999999999995</v>
      </c>
      <c r="F68">
        <v>0.4536</v>
      </c>
      <c r="G68">
        <v>0.45669999999999999</v>
      </c>
      <c r="H68">
        <v>0.502</v>
      </c>
      <c r="I68">
        <v>0.47489999999999999</v>
      </c>
      <c r="J68">
        <v>1</v>
      </c>
      <c r="L68" t="s">
        <v>566</v>
      </c>
    </row>
    <row r="69" spans="2:12" x14ac:dyDescent="0.3">
      <c r="B69" t="s">
        <v>5</v>
      </c>
      <c r="C69">
        <v>2.4645000000000001</v>
      </c>
      <c r="D69">
        <v>2.3376999999999999</v>
      </c>
      <c r="E69">
        <v>4.7427000000000001</v>
      </c>
      <c r="F69">
        <v>2.3233999999999999</v>
      </c>
      <c r="G69">
        <v>2.3786999999999998</v>
      </c>
      <c r="H69">
        <v>2.4438</v>
      </c>
      <c r="I69">
        <v>2.4260000000000002</v>
      </c>
      <c r="J69">
        <v>1</v>
      </c>
      <c r="L69" t="s">
        <v>567</v>
      </c>
    </row>
    <row r="70" spans="2:12" x14ac:dyDescent="0.3">
      <c r="B70" t="s">
        <v>6</v>
      </c>
      <c r="C70">
        <v>5.1353999999999997</v>
      </c>
      <c r="D70">
        <v>4.9508999999999999</v>
      </c>
      <c r="E70">
        <v>10.0951</v>
      </c>
      <c r="F70">
        <v>4.7903000000000002</v>
      </c>
      <c r="G70">
        <v>4.8373999999999997</v>
      </c>
      <c r="H70">
        <v>4.9273999999999996</v>
      </c>
      <c r="I70">
        <v>4.8742999999999999</v>
      </c>
      <c r="J70">
        <v>1</v>
      </c>
      <c r="L70" t="s">
        <v>568</v>
      </c>
    </row>
    <row r="71" spans="2:12" x14ac:dyDescent="0.3">
      <c r="B71" t="s">
        <v>7</v>
      </c>
      <c r="C71">
        <v>10.604699999999999</v>
      </c>
      <c r="D71">
        <v>10.0747</v>
      </c>
      <c r="E71">
        <v>21.065799999999999</v>
      </c>
      <c r="F71">
        <v>9.7379999999999995</v>
      </c>
      <c r="G71">
        <v>9.8427000000000007</v>
      </c>
      <c r="H71">
        <v>9.8486999999999991</v>
      </c>
      <c r="I71">
        <v>9.7760999999999996</v>
      </c>
      <c r="J71">
        <v>1</v>
      </c>
      <c r="L71" t="s">
        <v>569</v>
      </c>
    </row>
    <row r="72" spans="2:12" x14ac:dyDescent="0.3">
      <c r="B72" t="s">
        <v>8</v>
      </c>
      <c r="C72">
        <v>25.9557</v>
      </c>
      <c r="D72">
        <v>24.993400000000001</v>
      </c>
      <c r="E72">
        <v>54.702800000000003</v>
      </c>
      <c r="F72">
        <v>25.235199999999999</v>
      </c>
      <c r="G72">
        <v>25.153300000000002</v>
      </c>
      <c r="H72">
        <v>25.121400000000001</v>
      </c>
      <c r="I72">
        <v>25.178799999999999</v>
      </c>
      <c r="J72">
        <v>1</v>
      </c>
      <c r="L72" t="s">
        <v>570</v>
      </c>
    </row>
    <row r="73" spans="2:12" x14ac:dyDescent="0.3">
      <c r="B73" t="s">
        <v>9</v>
      </c>
      <c r="C73">
        <v>49.355600000000003</v>
      </c>
      <c r="D73">
        <v>37.514400000000002</v>
      </c>
      <c r="E73">
        <v>107.8446</v>
      </c>
      <c r="F73">
        <v>49.960999999999999</v>
      </c>
      <c r="G73">
        <v>49.975700000000003</v>
      </c>
      <c r="H73">
        <v>49.978700000000003</v>
      </c>
      <c r="I73">
        <v>49.969799999999999</v>
      </c>
      <c r="J73">
        <v>1</v>
      </c>
      <c r="L73" t="s">
        <v>571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L153"/>
  <sheetViews>
    <sheetView workbookViewId="0">
      <pane ySplit="1" topLeftCell="A6" activePane="bottomLeft" state="frozen"/>
      <selection pane="bottomLeft" activeCell="E131" sqref="E131"/>
    </sheetView>
  </sheetViews>
  <sheetFormatPr defaultRowHeight="14.4" x14ac:dyDescent="0.3"/>
  <cols>
    <col min="1" max="1" width="33.21875" bestFit="1" customWidth="1"/>
    <col min="2" max="2" width="29.44140625" bestFit="1" customWidth="1"/>
    <col min="3" max="3" width="6.5546875" bestFit="1" customWidth="1"/>
    <col min="4" max="4" width="8.109375" bestFit="1" customWidth="1"/>
    <col min="5" max="5" width="9.109375" bestFit="1" customWidth="1"/>
    <col min="6" max="6" width="10.88671875" bestFit="1" customWidth="1"/>
    <col min="7" max="7" width="9.44140625" bestFit="1" customWidth="1"/>
    <col min="8" max="8" width="10.88671875" bestFit="1" customWidth="1"/>
    <col min="9" max="9" width="10.6640625" bestFit="1" customWidth="1"/>
    <col min="10" max="10" width="10.5546875" bestFit="1" customWidth="1"/>
    <col min="11" max="11" width="7.6640625" style="4" bestFit="1" customWidth="1"/>
    <col min="12" max="12" width="28" bestFit="1" customWidth="1"/>
    <col min="13" max="13" width="14.109375" customWidth="1"/>
  </cols>
  <sheetData>
    <row r="1" spans="1:12" x14ac:dyDescent="0.3">
      <c r="A1" s="3" t="s">
        <v>641</v>
      </c>
      <c r="B1" s="3" t="s">
        <v>642</v>
      </c>
      <c r="C1" s="3" t="s">
        <v>643</v>
      </c>
      <c r="D1" s="3" t="s">
        <v>1</v>
      </c>
      <c r="E1" s="3" t="s">
        <v>2</v>
      </c>
      <c r="F1" s="3" t="s">
        <v>128</v>
      </c>
      <c r="G1" s="3" t="s">
        <v>129</v>
      </c>
      <c r="H1" s="3" t="s">
        <v>130</v>
      </c>
      <c r="I1" s="3" t="s">
        <v>131</v>
      </c>
      <c r="J1" s="3" t="s">
        <v>132</v>
      </c>
      <c r="K1" s="1" t="s">
        <v>133</v>
      </c>
      <c r="L1" s="1" t="s">
        <v>640</v>
      </c>
    </row>
    <row r="2" spans="1:12" hidden="1" x14ac:dyDescent="0.3">
      <c r="A2" s="2" t="s">
        <v>94</v>
      </c>
      <c r="B2" s="2" t="str">
        <f>LEFT(A2,LEN(A2)-0)</f>
        <v>CH4-016-08-DEEP</v>
      </c>
      <c r="C2" s="2">
        <v>8</v>
      </c>
      <c r="D2" s="2" t="s">
        <v>135</v>
      </c>
      <c r="E2" s="2">
        <v>4.3586</v>
      </c>
      <c r="F2" s="2" t="s">
        <v>135</v>
      </c>
      <c r="G2" s="2" t="s">
        <v>135</v>
      </c>
      <c r="H2" s="2" t="s">
        <v>135</v>
      </c>
      <c r="I2" s="2" t="s">
        <v>135</v>
      </c>
      <c r="J2" s="2">
        <v>0.28120000000000001</v>
      </c>
      <c r="K2" s="5"/>
      <c r="L2" s="2" t="s">
        <v>317</v>
      </c>
    </row>
    <row r="3" spans="1:12" hidden="1" x14ac:dyDescent="0.3">
      <c r="A3" s="2" t="s">
        <v>94</v>
      </c>
      <c r="B3" s="2" t="str">
        <f t="shared" ref="B3:B66" si="0">LEFT(A3,LEN(A3)-0)</f>
        <v>CH4-016-08-DEEP</v>
      </c>
      <c r="C3" s="2">
        <v>8</v>
      </c>
      <c r="D3" s="2">
        <v>3.2099999999999997E-2</v>
      </c>
      <c r="E3" s="2">
        <v>4.1665999999999999</v>
      </c>
      <c r="F3" s="2" t="s">
        <v>135</v>
      </c>
      <c r="G3" s="2" t="s">
        <v>135</v>
      </c>
      <c r="H3" s="2" t="s">
        <v>135</v>
      </c>
      <c r="I3" s="2" t="s">
        <v>135</v>
      </c>
      <c r="J3" s="2">
        <v>0.33879999999999999</v>
      </c>
      <c r="K3" s="5"/>
      <c r="L3" s="2" t="s">
        <v>443</v>
      </c>
    </row>
    <row r="4" spans="1:12" hidden="1" x14ac:dyDescent="0.3">
      <c r="A4" s="2" t="s">
        <v>93</v>
      </c>
      <c r="B4" s="2" t="str">
        <f t="shared" si="0"/>
        <v>CH4-016-08-SHALLOW</v>
      </c>
      <c r="C4" s="2">
        <v>8</v>
      </c>
      <c r="D4" s="2">
        <v>4.4699999999999997E-2</v>
      </c>
      <c r="E4" s="2">
        <v>4.3300999999999998</v>
      </c>
      <c r="F4" s="2" t="s">
        <v>135</v>
      </c>
      <c r="G4" s="2" t="s">
        <v>135</v>
      </c>
      <c r="H4" s="2" t="s">
        <v>135</v>
      </c>
      <c r="I4" s="2" t="s">
        <v>135</v>
      </c>
      <c r="J4" s="2">
        <v>0.53190000000000004</v>
      </c>
      <c r="K4" s="5">
        <v>1</v>
      </c>
      <c r="L4" s="2" t="s">
        <v>316</v>
      </c>
    </row>
    <row r="5" spans="1:12" hidden="1" x14ac:dyDescent="0.3">
      <c r="A5" s="2" t="s">
        <v>93</v>
      </c>
      <c r="B5" s="2" t="str">
        <f t="shared" si="0"/>
        <v>CH4-016-08-SHALLOW</v>
      </c>
      <c r="C5" s="2">
        <v>8</v>
      </c>
      <c r="D5" s="2">
        <v>3.1899999999999998E-2</v>
      </c>
      <c r="E5" s="2">
        <v>4.3384999999999998</v>
      </c>
      <c r="F5" s="2" t="s">
        <v>135</v>
      </c>
      <c r="G5" s="2" t="s">
        <v>135</v>
      </c>
      <c r="H5" s="2" t="s">
        <v>135</v>
      </c>
      <c r="I5" s="2" t="s">
        <v>135</v>
      </c>
      <c r="J5" s="2">
        <v>0.56789999999999996</v>
      </c>
      <c r="K5" s="5">
        <v>1</v>
      </c>
      <c r="L5" s="2" t="s">
        <v>440</v>
      </c>
    </row>
    <row r="6" spans="1:12" x14ac:dyDescent="0.3">
      <c r="A6" s="2" t="s">
        <v>200</v>
      </c>
      <c r="B6" s="2" t="str">
        <f t="shared" si="0"/>
        <v>CH4-067-04-BLANK</v>
      </c>
      <c r="C6" s="2">
        <v>4</v>
      </c>
      <c r="D6" s="2" t="s">
        <v>135</v>
      </c>
      <c r="E6" s="2" t="s">
        <v>135</v>
      </c>
      <c r="F6" s="2" t="s">
        <v>135</v>
      </c>
      <c r="G6" s="2" t="s">
        <v>135</v>
      </c>
      <c r="H6" s="2" t="s">
        <v>135</v>
      </c>
      <c r="I6" s="2" t="s">
        <v>135</v>
      </c>
      <c r="J6" s="2" t="s">
        <v>135</v>
      </c>
      <c r="K6" s="5">
        <v>1</v>
      </c>
      <c r="L6" s="2" t="s">
        <v>444</v>
      </c>
    </row>
    <row r="7" spans="1:12" x14ac:dyDescent="0.3">
      <c r="A7" s="2" t="s">
        <v>88</v>
      </c>
      <c r="B7" s="2" t="str">
        <f t="shared" si="0"/>
        <v>CH4-067-U04-BLANK</v>
      </c>
      <c r="C7" s="2">
        <v>4</v>
      </c>
      <c r="D7" s="2" t="s">
        <v>135</v>
      </c>
      <c r="E7" s="2" t="s">
        <v>135</v>
      </c>
      <c r="F7" s="2" t="s">
        <v>135</v>
      </c>
      <c r="G7" s="2" t="s">
        <v>135</v>
      </c>
      <c r="H7" s="2" t="s">
        <v>135</v>
      </c>
      <c r="I7" s="2" t="s">
        <v>135</v>
      </c>
      <c r="J7" s="2" t="s">
        <v>135</v>
      </c>
      <c r="K7" s="5">
        <v>1</v>
      </c>
      <c r="L7" s="2" t="s">
        <v>311</v>
      </c>
    </row>
    <row r="8" spans="1:12" hidden="1" x14ac:dyDescent="0.3">
      <c r="A8" s="2" t="s">
        <v>538</v>
      </c>
      <c r="B8" s="2" t="str">
        <f t="shared" si="0"/>
        <v>CH4-067-U04-DEEP</v>
      </c>
      <c r="C8" s="2">
        <v>4</v>
      </c>
      <c r="D8" s="2">
        <v>0.82310000000000005</v>
      </c>
      <c r="E8" s="2" t="s">
        <v>135</v>
      </c>
      <c r="F8" s="2" t="s">
        <v>135</v>
      </c>
      <c r="G8" s="2" t="s">
        <v>135</v>
      </c>
      <c r="H8" s="2" t="s">
        <v>135</v>
      </c>
      <c r="I8" s="2" t="s">
        <v>135</v>
      </c>
      <c r="J8" s="2" t="s">
        <v>135</v>
      </c>
      <c r="K8" s="5">
        <v>1</v>
      </c>
      <c r="L8" s="2" t="s">
        <v>604</v>
      </c>
    </row>
    <row r="9" spans="1:12" hidden="1" x14ac:dyDescent="0.3">
      <c r="A9" s="2" t="s">
        <v>562</v>
      </c>
      <c r="B9" s="2" t="str">
        <f>LEFT(A9,LEN(A9)-5)</f>
        <v>CH4-067-U04-DEEP</v>
      </c>
      <c r="C9" s="2">
        <v>4</v>
      </c>
      <c r="D9" s="2" t="s">
        <v>135</v>
      </c>
      <c r="E9" s="2" t="s">
        <v>135</v>
      </c>
      <c r="F9" s="2" t="s">
        <v>135</v>
      </c>
      <c r="G9" s="2" t="s">
        <v>135</v>
      </c>
      <c r="H9" s="2" t="s">
        <v>135</v>
      </c>
      <c r="I9" s="2" t="s">
        <v>135</v>
      </c>
      <c r="J9" s="2">
        <v>1092.2411999999999</v>
      </c>
      <c r="K9" s="5">
        <v>100</v>
      </c>
      <c r="L9" s="2" t="s">
        <v>633</v>
      </c>
    </row>
    <row r="10" spans="1:12" hidden="1" x14ac:dyDescent="0.3">
      <c r="A10" s="2" t="s">
        <v>548</v>
      </c>
      <c r="B10" s="2" t="str">
        <f>LEFT(A10,LEN(A10)-4)</f>
        <v>CH4-067-U04-DEEP</v>
      </c>
      <c r="C10" s="2">
        <v>4</v>
      </c>
      <c r="D10" s="2" t="s">
        <v>135</v>
      </c>
      <c r="E10" s="2">
        <v>33.411299999999997</v>
      </c>
      <c r="F10" s="2" t="s">
        <v>135</v>
      </c>
      <c r="G10" s="2" t="s">
        <v>135</v>
      </c>
      <c r="H10" s="2" t="s">
        <v>135</v>
      </c>
      <c r="I10" s="2" t="s">
        <v>135</v>
      </c>
      <c r="J10" s="2" t="s">
        <v>135</v>
      </c>
      <c r="K10" s="5">
        <v>20</v>
      </c>
      <c r="L10" s="2" t="s">
        <v>620</v>
      </c>
    </row>
    <row r="11" spans="1:12" hidden="1" x14ac:dyDescent="0.3">
      <c r="A11" s="2" t="s">
        <v>551</v>
      </c>
      <c r="B11" s="2" t="str">
        <f t="shared" si="0"/>
        <v>CH4-067-U04-SHALLOW</v>
      </c>
      <c r="C11" s="2">
        <v>4</v>
      </c>
      <c r="D11" s="2">
        <v>0.81510000000000005</v>
      </c>
      <c r="E11" s="2" t="s">
        <v>135</v>
      </c>
      <c r="F11" s="2" t="s">
        <v>135</v>
      </c>
      <c r="G11" s="2" t="s">
        <v>135</v>
      </c>
      <c r="H11" s="2" t="s">
        <v>135</v>
      </c>
      <c r="I11" s="2" t="s">
        <v>135</v>
      </c>
      <c r="J11" s="2" t="s">
        <v>135</v>
      </c>
      <c r="K11" s="5">
        <v>1</v>
      </c>
      <c r="L11" s="2" t="s">
        <v>603</v>
      </c>
    </row>
    <row r="12" spans="1:12" hidden="1" x14ac:dyDescent="0.3">
      <c r="A12" s="2" t="s">
        <v>561</v>
      </c>
      <c r="B12" s="2" t="str">
        <f>LEFT(A12,LEN(A12)-5)</f>
        <v>CH4-067-U04-SHALLOW</v>
      </c>
      <c r="C12" s="2">
        <v>4</v>
      </c>
      <c r="D12" s="2" t="s">
        <v>135</v>
      </c>
      <c r="E12" s="2" t="s">
        <v>135</v>
      </c>
      <c r="F12" s="2" t="s">
        <v>135</v>
      </c>
      <c r="G12" s="2" t="s">
        <v>135</v>
      </c>
      <c r="H12" s="2" t="s">
        <v>135</v>
      </c>
      <c r="I12" s="2" t="s">
        <v>135</v>
      </c>
      <c r="J12" s="2">
        <v>1156.5084999999999</v>
      </c>
      <c r="K12" s="5">
        <v>100</v>
      </c>
      <c r="L12" s="2" t="s">
        <v>632</v>
      </c>
    </row>
    <row r="13" spans="1:12" hidden="1" x14ac:dyDescent="0.3">
      <c r="A13" s="2" t="s">
        <v>553</v>
      </c>
      <c r="B13" s="2" t="str">
        <f>LEFT(A13,LEN(A13)-4)</f>
        <v>CH4-067-U04-SHALLOW</v>
      </c>
      <c r="C13" s="2">
        <v>4</v>
      </c>
      <c r="D13" s="2" t="s">
        <v>135</v>
      </c>
      <c r="E13" s="2">
        <v>39.077500000000001</v>
      </c>
      <c r="F13" s="2" t="s">
        <v>135</v>
      </c>
      <c r="G13" s="2" t="s">
        <v>135</v>
      </c>
      <c r="H13" s="2" t="s">
        <v>135</v>
      </c>
      <c r="I13" s="2" t="s">
        <v>135</v>
      </c>
      <c r="J13" s="2" t="s">
        <v>135</v>
      </c>
      <c r="K13" s="5">
        <v>20</v>
      </c>
      <c r="L13" s="2" t="s">
        <v>619</v>
      </c>
    </row>
    <row r="14" spans="1:12" hidden="1" x14ac:dyDescent="0.3">
      <c r="A14" s="2" t="s">
        <v>552</v>
      </c>
      <c r="B14" s="2" t="str">
        <f t="shared" si="0"/>
        <v>CH4-067-U04-SHALLOW-DUP</v>
      </c>
      <c r="C14" s="2">
        <v>4</v>
      </c>
      <c r="D14" s="2">
        <v>0.80230000000000001</v>
      </c>
      <c r="E14" s="2" t="s">
        <v>135</v>
      </c>
      <c r="F14" s="2" t="s">
        <v>135</v>
      </c>
      <c r="G14" s="2" t="s">
        <v>135</v>
      </c>
      <c r="H14" s="2" t="s">
        <v>135</v>
      </c>
      <c r="I14" s="2" t="s">
        <v>135</v>
      </c>
      <c r="J14" s="2" t="s">
        <v>135</v>
      </c>
      <c r="K14" s="5">
        <v>1</v>
      </c>
      <c r="L14" s="2" t="s">
        <v>605</v>
      </c>
    </row>
    <row r="15" spans="1:12" hidden="1" x14ac:dyDescent="0.3">
      <c r="A15" s="2" t="s">
        <v>554</v>
      </c>
      <c r="B15" s="2" t="str">
        <f>LEFT(A15,LEN(A15)-4)</f>
        <v>CH4-067-U04-SHALLOW-DUP</v>
      </c>
      <c r="C15" s="2">
        <v>4</v>
      </c>
      <c r="D15" s="2" t="s">
        <v>135</v>
      </c>
      <c r="E15" s="2">
        <v>39.9574</v>
      </c>
      <c r="F15" s="2" t="s">
        <v>135</v>
      </c>
      <c r="G15" s="2" t="s">
        <v>135</v>
      </c>
      <c r="H15" s="2" t="s">
        <v>135</v>
      </c>
      <c r="I15" s="2" t="s">
        <v>135</v>
      </c>
      <c r="J15" s="2" t="s">
        <v>135</v>
      </c>
      <c r="K15" s="5">
        <v>20</v>
      </c>
      <c r="L15" s="2" t="s">
        <v>621</v>
      </c>
    </row>
    <row r="16" spans="1:12" hidden="1" x14ac:dyDescent="0.3">
      <c r="A16" s="2" t="s">
        <v>563</v>
      </c>
      <c r="B16" s="2" t="str">
        <f>LEFT(A16,LEN(A16)-4)</f>
        <v>CH4-067-U04-SHALLOW-DUP</v>
      </c>
      <c r="C16" s="2">
        <v>4</v>
      </c>
      <c r="D16" s="2" t="s">
        <v>135</v>
      </c>
      <c r="E16" s="2">
        <v>33.2742</v>
      </c>
      <c r="F16" s="2" t="s">
        <v>135</v>
      </c>
      <c r="G16" s="2" t="s">
        <v>135</v>
      </c>
      <c r="H16" s="2" t="s">
        <v>135</v>
      </c>
      <c r="I16" s="2" t="s">
        <v>135</v>
      </c>
      <c r="J16" s="2">
        <v>1078.1950999999999</v>
      </c>
      <c r="K16" s="5">
        <v>100</v>
      </c>
      <c r="L16" s="2" t="s">
        <v>634</v>
      </c>
    </row>
    <row r="17" spans="1:12" hidden="1" x14ac:dyDescent="0.3">
      <c r="A17" s="2" t="s">
        <v>32</v>
      </c>
      <c r="B17" s="2" t="str">
        <f t="shared" si="0"/>
        <v>CH4-068-SU4-DEEP</v>
      </c>
      <c r="C17" s="2">
        <v>4</v>
      </c>
      <c r="D17" s="2">
        <v>0.27739999999999998</v>
      </c>
      <c r="E17" s="2">
        <v>20.8416</v>
      </c>
      <c r="F17" s="2" t="s">
        <v>135</v>
      </c>
      <c r="G17" s="2" t="s">
        <v>135</v>
      </c>
      <c r="H17" s="2">
        <v>0.1988</v>
      </c>
      <c r="I17" s="2">
        <v>0.62780000000000002</v>
      </c>
      <c r="J17" s="2" t="s">
        <v>135</v>
      </c>
      <c r="K17" s="5">
        <v>1</v>
      </c>
      <c r="L17" s="2" t="s">
        <v>232</v>
      </c>
    </row>
    <row r="18" spans="1:12" hidden="1" x14ac:dyDescent="0.3">
      <c r="A18" s="2" t="s">
        <v>73</v>
      </c>
      <c r="B18" s="2" t="str">
        <f>LEFT(A18,LEN(A18)-4)</f>
        <v>CH4-068-SU4-DEEP</v>
      </c>
      <c r="C18" s="2">
        <v>4</v>
      </c>
      <c r="D18" s="2" t="s">
        <v>135</v>
      </c>
      <c r="E18" s="2" t="s">
        <v>135</v>
      </c>
      <c r="F18" s="2" t="s">
        <v>135</v>
      </c>
      <c r="G18" s="2" t="s">
        <v>135</v>
      </c>
      <c r="H18" s="2" t="s">
        <v>135</v>
      </c>
      <c r="I18" s="2" t="s">
        <v>135</v>
      </c>
      <c r="J18" s="2">
        <v>630.4837</v>
      </c>
      <c r="K18" s="5">
        <v>20</v>
      </c>
      <c r="L18" s="2" t="s">
        <v>292</v>
      </c>
    </row>
    <row r="19" spans="1:12" hidden="1" x14ac:dyDescent="0.3">
      <c r="A19" s="2" t="s">
        <v>31</v>
      </c>
      <c r="B19" s="2" t="str">
        <f t="shared" si="0"/>
        <v>CH4-068-SU4-SHALLOW</v>
      </c>
      <c r="C19" s="2">
        <v>4</v>
      </c>
      <c r="D19" s="2">
        <v>0.26769999999999999</v>
      </c>
      <c r="E19" s="2">
        <v>21.133099999999999</v>
      </c>
      <c r="F19" s="2" t="s">
        <v>135</v>
      </c>
      <c r="G19" s="2" t="s">
        <v>135</v>
      </c>
      <c r="H19" s="2" t="s">
        <v>135</v>
      </c>
      <c r="I19" s="2" t="s">
        <v>135</v>
      </c>
      <c r="J19" s="2" t="s">
        <v>135</v>
      </c>
      <c r="K19" s="5">
        <v>1</v>
      </c>
      <c r="L19" s="2" t="s">
        <v>231</v>
      </c>
    </row>
    <row r="20" spans="1:12" hidden="1" x14ac:dyDescent="0.3">
      <c r="A20" s="2" t="s">
        <v>72</v>
      </c>
      <c r="B20" s="2" t="str">
        <f>LEFT(A20,LEN(A20)-4)</f>
        <v>CH4-068-SU4-SHALLOW</v>
      </c>
      <c r="C20" s="2">
        <v>4</v>
      </c>
      <c r="D20" s="2" t="s">
        <v>135</v>
      </c>
      <c r="E20" s="2" t="s">
        <v>135</v>
      </c>
      <c r="F20" s="2" t="s">
        <v>135</v>
      </c>
      <c r="G20" s="2" t="s">
        <v>135</v>
      </c>
      <c r="H20" s="2" t="s">
        <v>135</v>
      </c>
      <c r="I20" s="2" t="s">
        <v>135</v>
      </c>
      <c r="J20" s="2">
        <v>663.59119999999996</v>
      </c>
      <c r="K20" s="5">
        <v>20</v>
      </c>
      <c r="L20" s="2" t="s">
        <v>291</v>
      </c>
    </row>
    <row r="21" spans="1:12" hidden="1" x14ac:dyDescent="0.3">
      <c r="A21" s="2" t="s">
        <v>37</v>
      </c>
      <c r="B21" s="2" t="str">
        <f t="shared" si="0"/>
        <v>CH4-069-LAC-U04 SHALLOW</v>
      </c>
      <c r="C21" s="2">
        <v>4</v>
      </c>
      <c r="D21" s="2">
        <v>0.38169999999999998</v>
      </c>
      <c r="E21" s="2">
        <v>10.154500000000001</v>
      </c>
      <c r="F21" s="2" t="s">
        <v>135</v>
      </c>
      <c r="G21" s="2" t="s">
        <v>135</v>
      </c>
      <c r="H21" s="2" t="s">
        <v>135</v>
      </c>
      <c r="I21" s="2" t="s">
        <v>135</v>
      </c>
      <c r="J21" s="2">
        <v>18.596499999999999</v>
      </c>
      <c r="K21" s="5">
        <v>1</v>
      </c>
      <c r="L21" s="2" t="s">
        <v>240</v>
      </c>
    </row>
    <row r="22" spans="1:12" hidden="1" x14ac:dyDescent="0.3">
      <c r="A22" s="2" t="s">
        <v>47</v>
      </c>
      <c r="B22" s="2" t="str">
        <f t="shared" si="0"/>
        <v>CH4-069-TRANS-U12-DEEP</v>
      </c>
      <c r="C22" s="2">
        <v>12</v>
      </c>
      <c r="D22" s="2">
        <v>0.35399999999999998</v>
      </c>
      <c r="E22" s="2">
        <v>9.1532999999999998</v>
      </c>
      <c r="F22" s="2" t="s">
        <v>135</v>
      </c>
      <c r="G22" s="2" t="s">
        <v>135</v>
      </c>
      <c r="H22" s="2" t="s">
        <v>135</v>
      </c>
      <c r="I22" s="2" t="s">
        <v>135</v>
      </c>
      <c r="J22" s="2">
        <v>38.712299999999999</v>
      </c>
      <c r="K22" s="5">
        <v>1</v>
      </c>
      <c r="L22" s="2" t="s">
        <v>251</v>
      </c>
    </row>
    <row r="23" spans="1:12" hidden="1" x14ac:dyDescent="0.3">
      <c r="A23" s="2" t="s">
        <v>46</v>
      </c>
      <c r="B23" s="2" t="str">
        <f t="shared" si="0"/>
        <v>CH4-069-TRANS-U12-SHALLOW</v>
      </c>
      <c r="C23" s="2">
        <v>12</v>
      </c>
      <c r="D23" s="2">
        <v>0.2999</v>
      </c>
      <c r="E23" s="2">
        <v>9.8872999999999998</v>
      </c>
      <c r="F23" s="2" t="s">
        <v>135</v>
      </c>
      <c r="G23" s="2" t="s">
        <v>135</v>
      </c>
      <c r="H23" s="2" t="s">
        <v>135</v>
      </c>
      <c r="I23" s="2" t="s">
        <v>135</v>
      </c>
      <c r="J23" s="2">
        <v>32.371400000000001</v>
      </c>
      <c r="K23" s="5">
        <v>1</v>
      </c>
      <c r="L23" s="2" t="s">
        <v>250</v>
      </c>
    </row>
    <row r="24" spans="1:12" hidden="1" x14ac:dyDescent="0.3">
      <c r="A24" s="2" t="s">
        <v>34</v>
      </c>
      <c r="B24" s="2" t="str">
        <f t="shared" si="0"/>
        <v>CH4-069-U07-DEEP</v>
      </c>
      <c r="C24" s="2">
        <v>7</v>
      </c>
      <c r="D24" s="2">
        <v>0.40160000000000001</v>
      </c>
      <c r="E24" s="2">
        <v>9.7456999999999994</v>
      </c>
      <c r="F24" s="2" t="s">
        <v>135</v>
      </c>
      <c r="G24" s="2" t="s">
        <v>135</v>
      </c>
      <c r="H24" s="2">
        <v>0.128</v>
      </c>
      <c r="I24" s="2" t="s">
        <v>135</v>
      </c>
      <c r="J24" s="2">
        <v>36.47</v>
      </c>
      <c r="K24" s="5">
        <v>1</v>
      </c>
      <c r="L24" s="2" t="s">
        <v>237</v>
      </c>
    </row>
    <row r="25" spans="1:12" hidden="1" x14ac:dyDescent="0.3">
      <c r="A25" s="2" t="s">
        <v>33</v>
      </c>
      <c r="B25" s="2" t="str">
        <f t="shared" si="0"/>
        <v>CH4-069-U07-SHALLOW</v>
      </c>
      <c r="C25" s="2">
        <v>7</v>
      </c>
      <c r="D25" s="2">
        <v>0.4098</v>
      </c>
      <c r="E25" s="2">
        <v>10.0075</v>
      </c>
      <c r="F25" s="2" t="s">
        <v>135</v>
      </c>
      <c r="G25" s="2" t="s">
        <v>135</v>
      </c>
      <c r="H25" s="2">
        <v>0.13109999999999999</v>
      </c>
      <c r="I25" s="2" t="s">
        <v>135</v>
      </c>
      <c r="J25" s="2">
        <v>37.324599999999997</v>
      </c>
      <c r="K25" s="5">
        <v>1</v>
      </c>
      <c r="L25" s="2" t="s">
        <v>233</v>
      </c>
    </row>
    <row r="26" spans="1:12" hidden="1" x14ac:dyDescent="0.3">
      <c r="A26" s="2" t="s">
        <v>28</v>
      </c>
      <c r="B26" s="2" t="str">
        <f t="shared" si="0"/>
        <v>CH4-070-U06-LAC-BLANK</v>
      </c>
      <c r="C26" s="2">
        <v>6</v>
      </c>
      <c r="D26" s="2" t="s">
        <v>135</v>
      </c>
      <c r="E26" s="2">
        <v>0.31630000000000003</v>
      </c>
      <c r="F26" s="2" t="s">
        <v>135</v>
      </c>
      <c r="G26" s="2" t="s">
        <v>135</v>
      </c>
      <c r="H26" s="2" t="s">
        <v>135</v>
      </c>
      <c r="I26" s="2" t="s">
        <v>135</v>
      </c>
      <c r="J26" s="2">
        <v>0.2482</v>
      </c>
      <c r="K26" s="5">
        <v>1</v>
      </c>
      <c r="L26" s="2" t="s">
        <v>228</v>
      </c>
    </row>
    <row r="27" spans="1:12" hidden="1" x14ac:dyDescent="0.3">
      <c r="A27" s="2" t="s">
        <v>26</v>
      </c>
      <c r="B27" s="2" t="str">
        <f t="shared" si="0"/>
        <v>CH4-070-U06-LAC-DEEP</v>
      </c>
      <c r="C27" s="2">
        <v>6</v>
      </c>
      <c r="D27" s="2">
        <v>0.3468</v>
      </c>
      <c r="E27" s="2">
        <v>12.0273</v>
      </c>
      <c r="F27" s="2" t="s">
        <v>135</v>
      </c>
      <c r="G27" s="2" t="s">
        <v>135</v>
      </c>
      <c r="H27" s="2" t="s">
        <v>135</v>
      </c>
      <c r="I27" s="2" t="s">
        <v>135</v>
      </c>
      <c r="J27" s="2" t="s">
        <v>135</v>
      </c>
      <c r="K27" s="5">
        <v>1</v>
      </c>
      <c r="L27" s="2" t="s">
        <v>225</v>
      </c>
    </row>
    <row r="28" spans="1:12" hidden="1" x14ac:dyDescent="0.3">
      <c r="A28" s="2" t="s">
        <v>68</v>
      </c>
      <c r="B28" s="2" t="str">
        <f>LEFT(A28,LEN(A28)-4)</f>
        <v>CH4-070-U06-LAC-DEEP</v>
      </c>
      <c r="C28" s="2">
        <v>6</v>
      </c>
      <c r="D28" s="2" t="s">
        <v>135</v>
      </c>
      <c r="E28" s="2" t="s">
        <v>135</v>
      </c>
      <c r="F28" s="2" t="s">
        <v>135</v>
      </c>
      <c r="G28" s="2" t="s">
        <v>135</v>
      </c>
      <c r="H28" s="2" t="s">
        <v>135</v>
      </c>
      <c r="I28" s="2" t="s">
        <v>135</v>
      </c>
      <c r="J28" s="2">
        <v>140.09649999999999</v>
      </c>
      <c r="K28" s="5">
        <v>10</v>
      </c>
      <c r="L28" s="2" t="s">
        <v>284</v>
      </c>
    </row>
    <row r="29" spans="1:12" hidden="1" x14ac:dyDescent="0.3">
      <c r="A29" s="2" t="s">
        <v>25</v>
      </c>
      <c r="B29" s="2" t="str">
        <f t="shared" si="0"/>
        <v>CH4-070-U06-LAC-SHALLOW</v>
      </c>
      <c r="C29" s="2">
        <v>6</v>
      </c>
      <c r="D29" s="2">
        <v>0.36409999999999998</v>
      </c>
      <c r="E29" s="2">
        <v>12.307399999999999</v>
      </c>
      <c r="F29" s="2" t="s">
        <v>135</v>
      </c>
      <c r="G29" s="2" t="s">
        <v>135</v>
      </c>
      <c r="H29" s="2">
        <v>0.6633</v>
      </c>
      <c r="I29" s="2" t="s">
        <v>135</v>
      </c>
      <c r="J29" s="2" t="s">
        <v>135</v>
      </c>
      <c r="K29" s="5">
        <v>1</v>
      </c>
      <c r="L29" s="2" t="s">
        <v>226</v>
      </c>
    </row>
    <row r="30" spans="1:12" hidden="1" x14ac:dyDescent="0.3">
      <c r="A30" s="2" t="s">
        <v>67</v>
      </c>
      <c r="B30" s="2" t="str">
        <f>LEFT(A30,LEN(A30)-4)</f>
        <v>CH4-070-U06-LAC-SHALLOW</v>
      </c>
      <c r="C30" s="2">
        <v>6</v>
      </c>
      <c r="D30" s="2" t="s">
        <v>135</v>
      </c>
      <c r="E30" s="2" t="s">
        <v>135</v>
      </c>
      <c r="F30" s="2" t="s">
        <v>135</v>
      </c>
      <c r="G30" s="2" t="s">
        <v>135</v>
      </c>
      <c r="H30" s="2" t="s">
        <v>135</v>
      </c>
      <c r="I30" s="2" t="s">
        <v>135</v>
      </c>
      <c r="J30" s="2">
        <v>265.75810000000001</v>
      </c>
      <c r="K30" s="5">
        <v>10</v>
      </c>
      <c r="L30" s="2" t="s">
        <v>287</v>
      </c>
    </row>
    <row r="31" spans="1:12" hidden="1" x14ac:dyDescent="0.3">
      <c r="A31" s="2" t="s">
        <v>27</v>
      </c>
      <c r="B31" s="2" t="str">
        <f t="shared" si="0"/>
        <v>CH4-070-U06-LAC-SHALLOW-DUP</v>
      </c>
      <c r="C31" s="2">
        <v>6</v>
      </c>
      <c r="D31" s="2">
        <v>0.27079999999999999</v>
      </c>
      <c r="E31" s="2">
        <v>5.5674000000000001</v>
      </c>
      <c r="F31" s="2" t="s">
        <v>135</v>
      </c>
      <c r="G31" s="2" t="s">
        <v>135</v>
      </c>
      <c r="H31" s="2" t="s">
        <v>135</v>
      </c>
      <c r="I31" s="2" t="s">
        <v>135</v>
      </c>
      <c r="J31" s="2" t="s">
        <v>135</v>
      </c>
      <c r="K31" s="5">
        <v>1</v>
      </c>
      <c r="L31" s="2" t="s">
        <v>227</v>
      </c>
    </row>
    <row r="32" spans="1:12" hidden="1" x14ac:dyDescent="0.3">
      <c r="A32" s="2" t="s">
        <v>69</v>
      </c>
      <c r="B32" s="2" t="str">
        <f>LEFT(A32,LEN(A32)-4)</f>
        <v>CH4-070-U06-LAC-SHALLOW-DUP</v>
      </c>
      <c r="C32" s="2">
        <v>6</v>
      </c>
      <c r="D32" s="2" t="s">
        <v>135</v>
      </c>
      <c r="E32" s="2" t="s">
        <v>135</v>
      </c>
      <c r="F32" s="2" t="s">
        <v>135</v>
      </c>
      <c r="G32" s="2" t="s">
        <v>135</v>
      </c>
      <c r="H32" s="2" t="s">
        <v>135</v>
      </c>
      <c r="I32" s="2" t="s">
        <v>135</v>
      </c>
      <c r="J32" s="2">
        <v>259.88080000000002</v>
      </c>
      <c r="K32" s="5">
        <v>10</v>
      </c>
      <c r="L32" s="2" t="s">
        <v>288</v>
      </c>
    </row>
    <row r="33" spans="1:12" hidden="1" x14ac:dyDescent="0.3">
      <c r="A33" s="2" t="s">
        <v>30</v>
      </c>
      <c r="B33" s="2" t="str">
        <f t="shared" si="0"/>
        <v>CH4-070-U06-RIVER-DEEP</v>
      </c>
      <c r="C33" s="2">
        <v>6</v>
      </c>
      <c r="D33" s="2">
        <v>0.36399999999999999</v>
      </c>
      <c r="E33" s="2">
        <v>11.661899999999999</v>
      </c>
      <c r="F33" s="2" t="s">
        <v>135</v>
      </c>
      <c r="G33" s="2" t="s">
        <v>135</v>
      </c>
      <c r="H33" s="2" t="s">
        <v>135</v>
      </c>
      <c r="I33" s="2" t="s">
        <v>135</v>
      </c>
      <c r="J33" s="2" t="s">
        <v>135</v>
      </c>
      <c r="K33" s="5">
        <v>1</v>
      </c>
      <c r="L33" s="2" t="s">
        <v>230</v>
      </c>
    </row>
    <row r="34" spans="1:12" hidden="1" x14ac:dyDescent="0.3">
      <c r="A34" s="2" t="s">
        <v>71</v>
      </c>
      <c r="B34" s="2" t="str">
        <f>LEFT(A34,LEN(A34)-4)</f>
        <v>CH4-070-U06-RIVER-DEEP</v>
      </c>
      <c r="C34" s="2">
        <v>6</v>
      </c>
      <c r="D34" s="2" t="s">
        <v>135</v>
      </c>
      <c r="E34" s="2" t="s">
        <v>135</v>
      </c>
      <c r="F34" s="2" t="s">
        <v>135</v>
      </c>
      <c r="G34" s="2" t="s">
        <v>135</v>
      </c>
      <c r="H34" s="2" t="s">
        <v>135</v>
      </c>
      <c r="I34" s="2" t="s">
        <v>135</v>
      </c>
      <c r="J34" s="2">
        <v>247.42060000000001</v>
      </c>
      <c r="K34" s="5">
        <v>10</v>
      </c>
      <c r="L34" s="2" t="s">
        <v>290</v>
      </c>
    </row>
    <row r="35" spans="1:12" hidden="1" x14ac:dyDescent="0.3">
      <c r="A35" s="2" t="s">
        <v>29</v>
      </c>
      <c r="B35" s="2" t="str">
        <f t="shared" si="0"/>
        <v>CH4-070-U06-RIVER-SHALLOW</v>
      </c>
      <c r="C35" s="2">
        <v>6</v>
      </c>
      <c r="D35" s="2">
        <v>0.33700000000000002</v>
      </c>
      <c r="E35" s="2">
        <v>12.001200000000001</v>
      </c>
      <c r="F35" s="2" t="s">
        <v>135</v>
      </c>
      <c r="G35" s="2" t="s">
        <v>135</v>
      </c>
      <c r="H35" s="2" t="s">
        <v>135</v>
      </c>
      <c r="I35" s="2" t="s">
        <v>135</v>
      </c>
      <c r="J35" s="2" t="s">
        <v>135</v>
      </c>
      <c r="K35" s="5">
        <v>1</v>
      </c>
      <c r="L35" s="2" t="s">
        <v>229</v>
      </c>
    </row>
    <row r="36" spans="1:12" hidden="1" x14ac:dyDescent="0.3">
      <c r="A36" s="2" t="s">
        <v>70</v>
      </c>
      <c r="B36" s="2" t="str">
        <f>LEFT(A36,LEN(A36)-4)</f>
        <v>CH4-070-U06-RIVER-SHALLOW</v>
      </c>
      <c r="C36" s="2">
        <v>6</v>
      </c>
      <c r="D36" s="2" t="s">
        <v>135</v>
      </c>
      <c r="E36" s="2" t="s">
        <v>135</v>
      </c>
      <c r="F36" s="2" t="s">
        <v>135</v>
      </c>
      <c r="G36" s="2" t="s">
        <v>135</v>
      </c>
      <c r="H36" s="2" t="s">
        <v>135</v>
      </c>
      <c r="I36" s="2" t="s">
        <v>135</v>
      </c>
      <c r="J36" s="2">
        <v>255.24019999999999</v>
      </c>
      <c r="K36" s="5">
        <v>10</v>
      </c>
      <c r="L36" s="2" t="s">
        <v>289</v>
      </c>
    </row>
    <row r="37" spans="1:12" hidden="1" x14ac:dyDescent="0.3">
      <c r="A37" s="2" t="s">
        <v>644</v>
      </c>
      <c r="B37" s="2" t="str">
        <f t="shared" si="0"/>
        <v>CH4-070-U07-DEEP-TRANS</v>
      </c>
      <c r="C37" s="2">
        <v>7</v>
      </c>
      <c r="D37" s="2">
        <v>0.3226</v>
      </c>
      <c r="E37" s="2">
        <v>10.8231</v>
      </c>
      <c r="F37" s="2" t="s">
        <v>135</v>
      </c>
      <c r="G37" s="2" t="s">
        <v>135</v>
      </c>
      <c r="H37" s="2" t="s">
        <v>135</v>
      </c>
      <c r="I37" s="2" t="s">
        <v>135</v>
      </c>
      <c r="J37" s="2" t="s">
        <v>135</v>
      </c>
      <c r="K37" s="5">
        <v>1</v>
      </c>
      <c r="L37" s="2" t="s">
        <v>582</v>
      </c>
    </row>
    <row r="38" spans="1:12" hidden="1" x14ac:dyDescent="0.3">
      <c r="A38" s="2" t="s">
        <v>646</v>
      </c>
      <c r="B38" s="2" t="str">
        <f>LEFT(A38,LEN(A38)-3)</f>
        <v>CH4-070-U07-DEEP-TRANS</v>
      </c>
      <c r="C38" s="2">
        <v>7</v>
      </c>
      <c r="D38" s="2" t="s">
        <v>135</v>
      </c>
      <c r="E38" s="2" t="s">
        <v>135</v>
      </c>
      <c r="F38" s="2" t="s">
        <v>135</v>
      </c>
      <c r="G38" s="2" t="s">
        <v>135</v>
      </c>
      <c r="H38" s="2" t="s">
        <v>135</v>
      </c>
      <c r="I38" s="2" t="s">
        <v>135</v>
      </c>
      <c r="J38" s="2" t="s">
        <v>135</v>
      </c>
      <c r="K38" s="5">
        <v>2</v>
      </c>
      <c r="L38" s="2" t="s">
        <v>609</v>
      </c>
    </row>
    <row r="39" spans="1:12" hidden="1" x14ac:dyDescent="0.3">
      <c r="A39" s="2" t="s">
        <v>647</v>
      </c>
      <c r="B39" s="2" t="str">
        <f>LEFT(A39,LEN(A39)-3)</f>
        <v>CH4-070-U07-DEEP-TRANS</v>
      </c>
      <c r="C39" s="2">
        <v>7</v>
      </c>
      <c r="D39" s="2" t="s">
        <v>135</v>
      </c>
      <c r="E39" s="2" t="s">
        <v>135</v>
      </c>
      <c r="F39" s="2" t="s">
        <v>135</v>
      </c>
      <c r="G39" s="2" t="s">
        <v>135</v>
      </c>
      <c r="H39" s="2" t="s">
        <v>135</v>
      </c>
      <c r="I39" s="2" t="s">
        <v>135</v>
      </c>
      <c r="J39" s="2">
        <v>234.78020000000001</v>
      </c>
      <c r="K39" s="5">
        <v>5</v>
      </c>
      <c r="L39" s="2" t="s">
        <v>631</v>
      </c>
    </row>
    <row r="40" spans="1:12" hidden="1" x14ac:dyDescent="0.3">
      <c r="A40" s="2" t="s">
        <v>645</v>
      </c>
      <c r="B40" s="2" t="str">
        <f t="shared" si="0"/>
        <v>CH4-070-U07-SHALLOW-TRANS</v>
      </c>
      <c r="C40" s="2">
        <v>7</v>
      </c>
      <c r="D40" s="2">
        <v>0.33510000000000001</v>
      </c>
      <c r="E40" s="2">
        <v>10.8177</v>
      </c>
      <c r="F40" s="2" t="s">
        <v>135</v>
      </c>
      <c r="G40" s="2" t="s">
        <v>135</v>
      </c>
      <c r="H40" s="2" t="s">
        <v>135</v>
      </c>
      <c r="I40" s="2" t="s">
        <v>135</v>
      </c>
      <c r="J40" s="2" t="s">
        <v>135</v>
      </c>
      <c r="K40" s="5">
        <v>1</v>
      </c>
      <c r="L40" s="2" t="s">
        <v>587</v>
      </c>
    </row>
    <row r="41" spans="1:12" hidden="1" x14ac:dyDescent="0.3">
      <c r="A41" s="2" t="s">
        <v>648</v>
      </c>
      <c r="B41" s="2" t="str">
        <f>LEFT(A41,LEN(A41)-3)</f>
        <v>CH4-070-U07-SHALLOW-TRANS</v>
      </c>
      <c r="C41" s="2">
        <v>7</v>
      </c>
      <c r="D41" s="2" t="s">
        <v>135</v>
      </c>
      <c r="E41" s="2" t="s">
        <v>135</v>
      </c>
      <c r="F41" s="2" t="s">
        <v>135</v>
      </c>
      <c r="G41" s="2" t="s">
        <v>135</v>
      </c>
      <c r="H41" s="2" t="s">
        <v>135</v>
      </c>
      <c r="I41" s="2" t="s">
        <v>135</v>
      </c>
      <c r="J41" s="2" t="s">
        <v>135</v>
      </c>
      <c r="K41" s="5">
        <v>2</v>
      </c>
      <c r="L41" s="2" t="s">
        <v>612</v>
      </c>
    </row>
    <row r="42" spans="1:12" hidden="1" x14ac:dyDescent="0.3">
      <c r="A42" s="2" t="s">
        <v>649</v>
      </c>
      <c r="B42" s="2" t="str">
        <f>LEFT(A42,LEN(A42)-3)</f>
        <v>CH4-070-U07-SHALLOW-TRANS</v>
      </c>
      <c r="C42" s="2">
        <v>7</v>
      </c>
      <c r="D42" s="2" t="s">
        <v>135</v>
      </c>
      <c r="E42" s="2" t="s">
        <v>135</v>
      </c>
      <c r="F42" s="2" t="s">
        <v>135</v>
      </c>
      <c r="G42" s="2" t="s">
        <v>135</v>
      </c>
      <c r="H42" s="2" t="s">
        <v>135</v>
      </c>
      <c r="I42" s="2" t="s">
        <v>135</v>
      </c>
      <c r="J42" s="2">
        <v>226.8477</v>
      </c>
      <c r="K42" s="5">
        <v>5</v>
      </c>
      <c r="L42" s="2" t="s">
        <v>630</v>
      </c>
    </row>
    <row r="43" spans="1:12" hidden="1" x14ac:dyDescent="0.3">
      <c r="A43" s="2" t="s">
        <v>537</v>
      </c>
      <c r="B43" s="2" t="str">
        <f t="shared" si="0"/>
        <v>CH4-072-U09-DEEP</v>
      </c>
      <c r="C43" s="2">
        <v>9</v>
      </c>
      <c r="D43" s="2">
        <v>0.15859999999999999</v>
      </c>
      <c r="E43" s="2">
        <v>9.7421000000000006</v>
      </c>
      <c r="F43" s="2" t="s">
        <v>135</v>
      </c>
      <c r="G43" s="2" t="s">
        <v>135</v>
      </c>
      <c r="H43" s="2" t="s">
        <v>135</v>
      </c>
      <c r="I43" s="2" t="s">
        <v>135</v>
      </c>
      <c r="J43" s="2" t="s">
        <v>135</v>
      </c>
      <c r="K43" s="5">
        <v>1</v>
      </c>
      <c r="L43" s="2" t="s">
        <v>602</v>
      </c>
    </row>
    <row r="44" spans="1:12" hidden="1" x14ac:dyDescent="0.3">
      <c r="A44" s="2" t="s">
        <v>547</v>
      </c>
      <c r="B44" s="2" t="str">
        <f>LEFT(A44,LEN(A44)-3)</f>
        <v>CH4-072-U09-DEEP</v>
      </c>
      <c r="C44" s="2">
        <v>9</v>
      </c>
      <c r="D44" s="2" t="s">
        <v>135</v>
      </c>
      <c r="E44" s="2" t="s">
        <v>135</v>
      </c>
      <c r="F44" s="2" t="s">
        <v>135</v>
      </c>
      <c r="G44" s="2" t="s">
        <v>135</v>
      </c>
      <c r="H44" s="2" t="s">
        <v>135</v>
      </c>
      <c r="I44" s="2" t="s">
        <v>135</v>
      </c>
      <c r="J44" s="2">
        <v>143.57749999999999</v>
      </c>
      <c r="K44" s="5">
        <v>5</v>
      </c>
      <c r="L44" s="2" t="s">
        <v>618</v>
      </c>
    </row>
    <row r="45" spans="1:12" hidden="1" x14ac:dyDescent="0.3">
      <c r="A45" s="2" t="s">
        <v>534</v>
      </c>
      <c r="B45" s="2" t="str">
        <f t="shared" si="0"/>
        <v>CH4-072-U09-SHALLOW</v>
      </c>
      <c r="C45" s="2">
        <v>9</v>
      </c>
      <c r="D45" s="2">
        <v>0.1588</v>
      </c>
      <c r="E45" s="2">
        <v>12.6942</v>
      </c>
      <c r="F45" s="2" t="s">
        <v>135</v>
      </c>
      <c r="G45" s="2" t="s">
        <v>135</v>
      </c>
      <c r="H45" s="2" t="s">
        <v>135</v>
      </c>
      <c r="I45" s="2" t="s">
        <v>135</v>
      </c>
      <c r="J45" s="2" t="s">
        <v>135</v>
      </c>
      <c r="K45" s="5">
        <v>1</v>
      </c>
      <c r="L45" s="2" t="s">
        <v>599</v>
      </c>
    </row>
    <row r="46" spans="1:12" hidden="1" x14ac:dyDescent="0.3">
      <c r="A46" s="2" t="s">
        <v>546</v>
      </c>
      <c r="B46" s="2" t="str">
        <f>LEFT(A46,LEN(A46)-3)</f>
        <v>CH4-072-U09-SHALLOW</v>
      </c>
      <c r="C46" s="2">
        <v>9</v>
      </c>
      <c r="D46" s="2" t="s">
        <v>135</v>
      </c>
      <c r="E46" s="2" t="s">
        <v>135</v>
      </c>
      <c r="F46" s="2" t="s">
        <v>135</v>
      </c>
      <c r="G46" s="2" t="s">
        <v>135</v>
      </c>
      <c r="H46" s="2" t="s">
        <v>135</v>
      </c>
      <c r="I46" s="2" t="s">
        <v>135</v>
      </c>
      <c r="J46" s="2">
        <v>156.32149999999999</v>
      </c>
      <c r="K46" s="5">
        <v>5</v>
      </c>
      <c r="L46" s="2" t="s">
        <v>617</v>
      </c>
    </row>
    <row r="47" spans="1:12" hidden="1" x14ac:dyDescent="0.3">
      <c r="A47" s="2" t="s">
        <v>522</v>
      </c>
      <c r="B47" s="2" t="str">
        <f t="shared" si="0"/>
        <v>CH4-075-U08-DEEP</v>
      </c>
      <c r="C47" s="2">
        <v>8</v>
      </c>
      <c r="D47" s="2" t="s">
        <v>135</v>
      </c>
      <c r="E47" s="2" t="s">
        <v>135</v>
      </c>
      <c r="F47" s="2" t="s">
        <v>135</v>
      </c>
      <c r="G47" s="2" t="s">
        <v>135</v>
      </c>
      <c r="H47" s="2">
        <v>7.2169999999999996</v>
      </c>
      <c r="I47" s="2" t="s">
        <v>135</v>
      </c>
      <c r="J47" s="2" t="s">
        <v>135</v>
      </c>
      <c r="K47" s="5">
        <v>1</v>
      </c>
      <c r="L47" s="2" t="s">
        <v>583</v>
      </c>
    </row>
    <row r="48" spans="1:12" hidden="1" x14ac:dyDescent="0.3">
      <c r="A48" s="2" t="s">
        <v>639</v>
      </c>
      <c r="B48" s="2" t="str">
        <f>LEFT(A48,LEN(A48)-4)</f>
        <v>CH4-075-U08-DEEP</v>
      </c>
      <c r="C48" s="2">
        <v>8</v>
      </c>
      <c r="D48" s="2" t="s">
        <v>135</v>
      </c>
      <c r="E48" s="2">
        <v>130.4075</v>
      </c>
      <c r="F48" s="2" t="s">
        <v>135</v>
      </c>
      <c r="G48" s="2" t="s">
        <v>135</v>
      </c>
      <c r="H48" s="2" t="s">
        <v>135</v>
      </c>
      <c r="I48" s="2" t="s">
        <v>135</v>
      </c>
      <c r="J48" s="2">
        <v>2450.2950999999998</v>
      </c>
      <c r="K48" s="5">
        <v>50</v>
      </c>
      <c r="L48" s="2" t="s">
        <v>610</v>
      </c>
    </row>
    <row r="49" spans="1:12" hidden="1" x14ac:dyDescent="0.3">
      <c r="A49" s="2" t="s">
        <v>520</v>
      </c>
      <c r="B49" s="2" t="str">
        <f t="shared" si="0"/>
        <v>CH4-075-U08-SHALLOW</v>
      </c>
      <c r="C49" s="2">
        <v>8</v>
      </c>
      <c r="D49" s="2" t="s">
        <v>135</v>
      </c>
      <c r="E49" s="2" t="s">
        <v>135</v>
      </c>
      <c r="F49" s="2" t="s">
        <v>135</v>
      </c>
      <c r="G49" s="2" t="s">
        <v>135</v>
      </c>
      <c r="H49" s="2">
        <v>9.0718999999999994</v>
      </c>
      <c r="I49" s="2" t="s">
        <v>135</v>
      </c>
      <c r="J49" s="2" t="s">
        <v>135</v>
      </c>
      <c r="K49" s="5">
        <v>1</v>
      </c>
      <c r="L49" s="2" t="s">
        <v>581</v>
      </c>
    </row>
    <row r="50" spans="1:12" hidden="1" x14ac:dyDescent="0.3">
      <c r="A50" s="2" t="s">
        <v>564</v>
      </c>
      <c r="B50" s="2" t="str">
        <f>LEFT(A50,LEN(A50)-5)</f>
        <v>CH4-075-U08-SHALLOW</v>
      </c>
      <c r="C50" s="2">
        <v>8</v>
      </c>
      <c r="D50" s="2" t="s">
        <v>135</v>
      </c>
      <c r="E50" s="2" t="s">
        <v>135</v>
      </c>
      <c r="F50" s="2" t="s">
        <v>135</v>
      </c>
      <c r="G50" s="2" t="s">
        <v>135</v>
      </c>
      <c r="H50" s="2" t="s">
        <v>135</v>
      </c>
      <c r="I50" s="2" t="s">
        <v>135</v>
      </c>
      <c r="J50" s="2">
        <v>2289.3661999999999</v>
      </c>
      <c r="K50" s="5">
        <v>200</v>
      </c>
      <c r="L50" s="2" t="s">
        <v>635</v>
      </c>
    </row>
    <row r="51" spans="1:12" hidden="1" x14ac:dyDescent="0.3">
      <c r="A51" s="2" t="s">
        <v>638</v>
      </c>
      <c r="B51" s="2" t="str">
        <f>LEFT(A51,LEN(A51)-4)</f>
        <v>CH4-075-U08-SHALLOW</v>
      </c>
      <c r="C51" s="2">
        <v>8</v>
      </c>
      <c r="D51" s="2" t="s">
        <v>135</v>
      </c>
      <c r="E51" s="2">
        <v>141.7338</v>
      </c>
      <c r="F51" s="2" t="s">
        <v>135</v>
      </c>
      <c r="G51" s="2" t="s">
        <v>135</v>
      </c>
      <c r="H51" s="2" t="s">
        <v>135</v>
      </c>
      <c r="I51" s="2" t="s">
        <v>135</v>
      </c>
      <c r="J51" s="2" t="s">
        <v>135</v>
      </c>
      <c r="K51" s="5">
        <v>50</v>
      </c>
      <c r="L51" s="2" t="s">
        <v>608</v>
      </c>
    </row>
    <row r="52" spans="1:12" hidden="1" x14ac:dyDescent="0.3">
      <c r="A52" s="2" t="s">
        <v>650</v>
      </c>
      <c r="B52" s="2" t="str">
        <f t="shared" si="0"/>
        <v>CH4-071-U02-DEEP</v>
      </c>
      <c r="C52" s="2">
        <v>2</v>
      </c>
      <c r="D52" s="2">
        <v>0.23499999999999999</v>
      </c>
      <c r="E52" s="2">
        <v>3.7867999999999999</v>
      </c>
      <c r="F52" s="2" t="s">
        <v>135</v>
      </c>
      <c r="G52" s="2" t="s">
        <v>135</v>
      </c>
      <c r="H52" s="2" t="s">
        <v>135</v>
      </c>
      <c r="I52" s="2" t="s">
        <v>135</v>
      </c>
      <c r="J52" s="2" t="s">
        <v>135</v>
      </c>
      <c r="K52" s="5">
        <v>1</v>
      </c>
      <c r="L52" s="2" t="s">
        <v>593</v>
      </c>
    </row>
    <row r="53" spans="1:12" hidden="1" x14ac:dyDescent="0.3">
      <c r="A53" s="2" t="s">
        <v>651</v>
      </c>
      <c r="B53" s="2" t="str">
        <f>LEFT(A53,LEN(A53)-3)</f>
        <v>CH4-071-U02-DEEP</v>
      </c>
      <c r="C53" s="2">
        <v>2</v>
      </c>
      <c r="D53" s="2" t="s">
        <v>135</v>
      </c>
      <c r="E53" s="2" t="s">
        <v>135</v>
      </c>
      <c r="F53" s="2" t="s">
        <v>135</v>
      </c>
      <c r="G53" s="2" t="s">
        <v>135</v>
      </c>
      <c r="H53" s="2" t="s">
        <v>135</v>
      </c>
      <c r="I53" s="2" t="s">
        <v>135</v>
      </c>
      <c r="J53" s="2">
        <v>100.9923</v>
      </c>
      <c r="K53" s="5">
        <v>2</v>
      </c>
      <c r="L53" s="2" t="s">
        <v>615</v>
      </c>
    </row>
    <row r="54" spans="1:12" hidden="1" x14ac:dyDescent="0.3">
      <c r="A54" s="2" t="s">
        <v>652</v>
      </c>
      <c r="B54" s="2" t="str">
        <f t="shared" si="0"/>
        <v>CH4-071-U02-SHALLOW</v>
      </c>
      <c r="C54" s="2">
        <v>2</v>
      </c>
      <c r="D54" s="2">
        <v>0.21190000000000001</v>
      </c>
      <c r="E54" s="2">
        <v>1.7788999999999999</v>
      </c>
      <c r="F54" s="2" t="s">
        <v>135</v>
      </c>
      <c r="G54" s="2" t="s">
        <v>135</v>
      </c>
      <c r="H54" s="2" t="s">
        <v>135</v>
      </c>
      <c r="I54" s="2" t="s">
        <v>135</v>
      </c>
      <c r="J54" s="2" t="s">
        <v>135</v>
      </c>
      <c r="K54" s="5">
        <v>1</v>
      </c>
      <c r="L54" s="2" t="s">
        <v>595</v>
      </c>
    </row>
    <row r="55" spans="1:12" hidden="1" x14ac:dyDescent="0.3">
      <c r="A55" s="2" t="s">
        <v>653</v>
      </c>
      <c r="B55" s="2" t="str">
        <f>LEFT(A55,LEN(A55)-3)</f>
        <v>CH4-071-U02-SHALLOW</v>
      </c>
      <c r="C55" s="2">
        <v>2</v>
      </c>
      <c r="D55" s="2" t="s">
        <v>135</v>
      </c>
      <c r="E55" s="2" t="s">
        <v>135</v>
      </c>
      <c r="F55" s="2" t="s">
        <v>135</v>
      </c>
      <c r="G55" s="2" t="s">
        <v>135</v>
      </c>
      <c r="H55" s="2" t="s">
        <v>135</v>
      </c>
      <c r="I55" s="2" t="s">
        <v>135</v>
      </c>
      <c r="J55" s="2">
        <v>100.73139999999999</v>
      </c>
      <c r="K55" s="5">
        <v>2</v>
      </c>
      <c r="L55" s="2" t="s">
        <v>616</v>
      </c>
    </row>
    <row r="56" spans="1:12" hidden="1" x14ac:dyDescent="0.3">
      <c r="A56" s="2" t="s">
        <v>529</v>
      </c>
      <c r="B56" s="2" t="str">
        <f t="shared" si="0"/>
        <v>CH4-079-U12-DEEP</v>
      </c>
      <c r="C56" s="2">
        <v>12</v>
      </c>
      <c r="D56" s="2">
        <v>0.69779999999999998</v>
      </c>
      <c r="E56" s="2">
        <v>14.147</v>
      </c>
      <c r="F56" s="2" t="s">
        <v>135</v>
      </c>
      <c r="G56" s="2" t="s">
        <v>135</v>
      </c>
      <c r="H56" s="2" t="s">
        <v>135</v>
      </c>
      <c r="I56" s="2">
        <v>1.2616000000000001</v>
      </c>
      <c r="J56" s="2">
        <v>40.304000000000002</v>
      </c>
      <c r="K56" s="5">
        <v>1</v>
      </c>
      <c r="L56" s="2" t="s">
        <v>591</v>
      </c>
    </row>
    <row r="57" spans="1:12" hidden="1" x14ac:dyDescent="0.3">
      <c r="A57" s="2" t="s">
        <v>518</v>
      </c>
      <c r="B57" s="2" t="str">
        <f t="shared" si="0"/>
        <v>CH4-079-U12-SHALLOW</v>
      </c>
      <c r="C57" s="2">
        <v>12</v>
      </c>
      <c r="D57" s="2">
        <v>0.71560000000000001</v>
      </c>
      <c r="E57" s="2">
        <v>14.1424</v>
      </c>
      <c r="F57" s="2" t="s">
        <v>135</v>
      </c>
      <c r="G57" s="2" t="s">
        <v>135</v>
      </c>
      <c r="H57" s="2" t="s">
        <v>135</v>
      </c>
      <c r="I57" s="2">
        <v>1.1930000000000001</v>
      </c>
      <c r="J57" s="2">
        <v>40.760599999999997</v>
      </c>
      <c r="K57" s="5">
        <v>1</v>
      </c>
      <c r="L57" s="2" t="s">
        <v>579</v>
      </c>
    </row>
    <row r="58" spans="1:12" hidden="1" x14ac:dyDescent="0.3">
      <c r="A58" s="2" t="s">
        <v>96</v>
      </c>
      <c r="B58" s="2" t="str">
        <f t="shared" si="0"/>
        <v>CH4-082-11-DEEP</v>
      </c>
      <c r="C58" s="2">
        <v>11</v>
      </c>
      <c r="D58" s="2">
        <v>3.6700000000000003E-2</v>
      </c>
      <c r="E58" s="2" t="s">
        <v>135</v>
      </c>
      <c r="F58" s="2" t="s">
        <v>135</v>
      </c>
      <c r="G58" s="2" t="s">
        <v>135</v>
      </c>
      <c r="H58" s="2" t="s">
        <v>135</v>
      </c>
      <c r="I58" s="2" t="s">
        <v>135</v>
      </c>
      <c r="J58" s="2">
        <v>1.0306999999999999</v>
      </c>
      <c r="K58" s="5">
        <v>1</v>
      </c>
      <c r="L58" s="2" t="s">
        <v>320</v>
      </c>
    </row>
    <row r="59" spans="1:12" hidden="1" x14ac:dyDescent="0.3">
      <c r="A59" s="2" t="s">
        <v>96</v>
      </c>
      <c r="B59" s="2" t="str">
        <f t="shared" si="0"/>
        <v>CH4-082-11-DEEP</v>
      </c>
      <c r="C59" s="2">
        <v>11</v>
      </c>
      <c r="D59" s="2">
        <v>3.6499999999999998E-2</v>
      </c>
      <c r="E59" s="2" t="s">
        <v>135</v>
      </c>
      <c r="F59" s="2" t="s">
        <v>135</v>
      </c>
      <c r="G59" s="2" t="s">
        <v>135</v>
      </c>
      <c r="H59" s="2" t="s">
        <v>135</v>
      </c>
      <c r="I59" s="2" t="s">
        <v>135</v>
      </c>
      <c r="J59" s="2">
        <v>1.7185999999999999</v>
      </c>
      <c r="K59" s="5">
        <v>1</v>
      </c>
      <c r="L59" s="2" t="s">
        <v>446</v>
      </c>
    </row>
    <row r="60" spans="1:12" hidden="1" x14ac:dyDescent="0.3">
      <c r="A60" s="2" t="s">
        <v>99</v>
      </c>
      <c r="B60" s="2" t="str">
        <f>LEFT(A60,LEN(A60)-3)</f>
        <v>CH4-082-11-DEEP</v>
      </c>
      <c r="C60" s="2">
        <v>11</v>
      </c>
      <c r="D60" s="2" t="s">
        <v>135</v>
      </c>
      <c r="E60" s="2" t="s">
        <v>135</v>
      </c>
      <c r="F60" s="2" t="s">
        <v>135</v>
      </c>
      <c r="G60" s="2" t="s">
        <v>135</v>
      </c>
      <c r="H60" s="2" t="s">
        <v>135</v>
      </c>
      <c r="I60" s="2" t="s">
        <v>135</v>
      </c>
      <c r="J60" s="2" t="s">
        <v>135</v>
      </c>
      <c r="K60" s="5">
        <v>2</v>
      </c>
      <c r="L60" s="2" t="s">
        <v>325</v>
      </c>
    </row>
    <row r="61" spans="1:12" hidden="1" x14ac:dyDescent="0.3">
      <c r="A61" s="2" t="s">
        <v>163</v>
      </c>
      <c r="B61" s="2" t="str">
        <f>LEFT(A61,LEN(A61)-3)</f>
        <v>CH4-082-11-DEEP</v>
      </c>
      <c r="C61" s="2">
        <v>11</v>
      </c>
      <c r="D61" s="2" t="s">
        <v>135</v>
      </c>
      <c r="E61" s="2">
        <v>67.638400000000004</v>
      </c>
      <c r="F61" s="2" t="s">
        <v>135</v>
      </c>
      <c r="G61" s="2" t="s">
        <v>135</v>
      </c>
      <c r="H61" s="2" t="s">
        <v>135</v>
      </c>
      <c r="I61" s="2" t="s">
        <v>135</v>
      </c>
      <c r="J61" s="2" t="s">
        <v>135</v>
      </c>
      <c r="K61" s="5">
        <v>5</v>
      </c>
      <c r="L61" s="2" t="s">
        <v>362</v>
      </c>
    </row>
    <row r="62" spans="1:12" hidden="1" x14ac:dyDescent="0.3">
      <c r="A62" s="2" t="s">
        <v>95</v>
      </c>
      <c r="B62" s="2" t="str">
        <f t="shared" si="0"/>
        <v>CH4-082-11-SHALLOW</v>
      </c>
      <c r="C62" s="2">
        <v>11</v>
      </c>
      <c r="D62" s="2">
        <v>5.8700000000000002E-2</v>
      </c>
      <c r="E62" s="2">
        <v>22.1677</v>
      </c>
      <c r="F62" s="2" t="s">
        <v>135</v>
      </c>
      <c r="G62" s="2" t="s">
        <v>135</v>
      </c>
      <c r="H62" s="2" t="s">
        <v>135</v>
      </c>
      <c r="I62" s="2" t="s">
        <v>135</v>
      </c>
      <c r="J62" s="2">
        <v>3.8555999999999999</v>
      </c>
      <c r="K62" s="5">
        <v>1</v>
      </c>
      <c r="L62" s="2" t="s">
        <v>319</v>
      </c>
    </row>
    <row r="63" spans="1:12" hidden="1" x14ac:dyDescent="0.3">
      <c r="A63" s="2" t="s">
        <v>95</v>
      </c>
      <c r="B63" s="2" t="str">
        <f t="shared" si="0"/>
        <v>CH4-082-11-SHALLOW</v>
      </c>
      <c r="C63" s="2">
        <v>11</v>
      </c>
      <c r="D63" s="2" t="s">
        <v>135</v>
      </c>
      <c r="E63" s="2">
        <v>22.0655</v>
      </c>
      <c r="F63" s="2" t="s">
        <v>135</v>
      </c>
      <c r="G63" s="2" t="s">
        <v>135</v>
      </c>
      <c r="H63" s="2" t="s">
        <v>135</v>
      </c>
      <c r="I63" s="2" t="s">
        <v>135</v>
      </c>
      <c r="J63" s="2">
        <v>3.8161999999999998</v>
      </c>
      <c r="K63" s="5">
        <v>1</v>
      </c>
      <c r="L63" s="2" t="s">
        <v>445</v>
      </c>
    </row>
    <row r="64" spans="1:12" hidden="1" x14ac:dyDescent="0.3">
      <c r="A64" s="2" t="s">
        <v>98</v>
      </c>
      <c r="B64" s="2" t="str">
        <f t="shared" si="0"/>
        <v>CH4-119-04-DEEP</v>
      </c>
      <c r="C64" s="2">
        <v>4</v>
      </c>
      <c r="D64" s="2">
        <v>6.2300000000000001E-2</v>
      </c>
      <c r="E64" s="2">
        <v>5.4085000000000001</v>
      </c>
      <c r="F64" s="2" t="s">
        <v>135</v>
      </c>
      <c r="G64" s="2" t="s">
        <v>135</v>
      </c>
      <c r="H64" s="2" t="s">
        <v>135</v>
      </c>
      <c r="I64" s="2" t="s">
        <v>135</v>
      </c>
      <c r="J64" s="2">
        <v>0.12520000000000001</v>
      </c>
      <c r="K64" s="5">
        <v>1</v>
      </c>
      <c r="L64" s="2" t="s">
        <v>322</v>
      </c>
    </row>
    <row r="65" spans="1:12" hidden="1" x14ac:dyDescent="0.3">
      <c r="A65" s="2" t="s">
        <v>98</v>
      </c>
      <c r="B65" s="2" t="str">
        <f t="shared" si="0"/>
        <v>CH4-119-04-DEEP</v>
      </c>
      <c r="C65" s="2">
        <v>4</v>
      </c>
      <c r="D65" s="2">
        <v>6.7699999999999996E-2</v>
      </c>
      <c r="E65" s="2">
        <v>5.5266000000000002</v>
      </c>
      <c r="F65" s="2" t="s">
        <v>135</v>
      </c>
      <c r="G65" s="2" t="s">
        <v>135</v>
      </c>
      <c r="H65" s="2" t="s">
        <v>135</v>
      </c>
      <c r="I65" s="2" t="s">
        <v>135</v>
      </c>
      <c r="J65" s="2">
        <v>0.15129999999999999</v>
      </c>
      <c r="K65" s="5">
        <v>1</v>
      </c>
      <c r="L65" s="2" t="s">
        <v>448</v>
      </c>
    </row>
    <row r="66" spans="1:12" hidden="1" x14ac:dyDescent="0.3">
      <c r="A66" s="2" t="s">
        <v>97</v>
      </c>
      <c r="B66" s="2" t="str">
        <f t="shared" si="0"/>
        <v>CH4-119-04-SHALLOW</v>
      </c>
      <c r="C66" s="2">
        <v>4</v>
      </c>
      <c r="D66" s="2">
        <v>7.4899999999999994E-2</v>
      </c>
      <c r="E66" s="2">
        <v>4.8737000000000004</v>
      </c>
      <c r="F66" s="2" t="s">
        <v>135</v>
      </c>
      <c r="G66" s="2" t="s">
        <v>135</v>
      </c>
      <c r="H66" s="2" t="s">
        <v>135</v>
      </c>
      <c r="I66" s="2" t="s">
        <v>135</v>
      </c>
      <c r="J66" s="2">
        <v>1.0876999999999999</v>
      </c>
      <c r="K66" s="5">
        <v>1</v>
      </c>
      <c r="L66" s="2" t="s">
        <v>321</v>
      </c>
    </row>
    <row r="67" spans="1:12" hidden="1" x14ac:dyDescent="0.3">
      <c r="A67" s="2" t="s">
        <v>97</v>
      </c>
      <c r="B67" s="2" t="str">
        <f t="shared" ref="B67:B130" si="1">LEFT(A67,LEN(A67)-0)</f>
        <v>CH4-119-04-SHALLOW</v>
      </c>
      <c r="C67" s="2">
        <v>4</v>
      </c>
      <c r="D67" s="2">
        <v>6.7400000000000002E-2</v>
      </c>
      <c r="E67" s="2">
        <v>4.8430999999999997</v>
      </c>
      <c r="F67" s="2" t="s">
        <v>135</v>
      </c>
      <c r="G67" s="2" t="s">
        <v>135</v>
      </c>
      <c r="H67" s="2" t="s">
        <v>135</v>
      </c>
      <c r="I67" s="2" t="s">
        <v>135</v>
      </c>
      <c r="J67" s="2">
        <v>1.0644</v>
      </c>
      <c r="K67" s="5">
        <v>1</v>
      </c>
      <c r="L67" s="2" t="s">
        <v>447</v>
      </c>
    </row>
    <row r="68" spans="1:12" x14ac:dyDescent="0.3">
      <c r="A68" s="2" t="s">
        <v>201</v>
      </c>
      <c r="B68" s="2" t="str">
        <f t="shared" si="1"/>
        <v>CH4-137-04-BLANK</v>
      </c>
      <c r="C68" s="2">
        <v>4</v>
      </c>
      <c r="D68" s="2" t="s">
        <v>135</v>
      </c>
      <c r="E68" s="2" t="s">
        <v>135</v>
      </c>
      <c r="F68" s="2" t="s">
        <v>135</v>
      </c>
      <c r="G68" s="2" t="s">
        <v>135</v>
      </c>
      <c r="H68" s="2" t="s">
        <v>135</v>
      </c>
      <c r="I68" s="2" t="s">
        <v>135</v>
      </c>
      <c r="J68" s="2" t="s">
        <v>135</v>
      </c>
      <c r="K68" s="5">
        <v>1</v>
      </c>
      <c r="L68" s="2" t="s">
        <v>453</v>
      </c>
    </row>
    <row r="69" spans="1:12" hidden="1" x14ac:dyDescent="0.3">
      <c r="A69" s="2" t="s">
        <v>90</v>
      </c>
      <c r="B69" s="2" t="str">
        <f t="shared" si="1"/>
        <v>CH4-137-04-DEEP</v>
      </c>
      <c r="C69" s="2">
        <v>4</v>
      </c>
      <c r="D69" s="2">
        <v>3.4799999999999998E-2</v>
      </c>
      <c r="E69" s="2">
        <v>1.3734999999999999</v>
      </c>
      <c r="F69" s="2" t="s">
        <v>135</v>
      </c>
      <c r="G69" s="2" t="s">
        <v>135</v>
      </c>
      <c r="H69" s="2" t="s">
        <v>135</v>
      </c>
      <c r="I69" s="2" t="s">
        <v>135</v>
      </c>
      <c r="J69" s="2">
        <v>0.2651</v>
      </c>
      <c r="K69" s="5">
        <v>1</v>
      </c>
      <c r="L69" s="2" t="s">
        <v>313</v>
      </c>
    </row>
    <row r="70" spans="1:12" hidden="1" x14ac:dyDescent="0.3">
      <c r="A70" s="2" t="s">
        <v>90</v>
      </c>
      <c r="B70" s="2" t="str">
        <f t="shared" si="1"/>
        <v>CH4-137-04-DEEP</v>
      </c>
      <c r="C70" s="2">
        <v>4</v>
      </c>
      <c r="D70" s="2">
        <v>2.92E-2</v>
      </c>
      <c r="E70" s="2">
        <v>1.3974</v>
      </c>
      <c r="F70" s="2" t="s">
        <v>135</v>
      </c>
      <c r="G70" s="2" t="s">
        <v>135</v>
      </c>
      <c r="H70" s="2" t="s">
        <v>135</v>
      </c>
      <c r="I70" s="2" t="s">
        <v>135</v>
      </c>
      <c r="J70" s="2">
        <v>0.50309999999999999</v>
      </c>
      <c r="K70" s="5">
        <v>1</v>
      </c>
      <c r="L70" s="2" t="s">
        <v>451</v>
      </c>
    </row>
    <row r="71" spans="1:12" hidden="1" x14ac:dyDescent="0.3">
      <c r="A71" s="2" t="s">
        <v>89</v>
      </c>
      <c r="B71" s="2" t="str">
        <f t="shared" si="1"/>
        <v>CH4-137-04-SHALLOW</v>
      </c>
      <c r="C71" s="2">
        <v>4</v>
      </c>
      <c r="D71" s="2">
        <v>2.63E-2</v>
      </c>
      <c r="E71" s="2">
        <v>1.8635999999999999</v>
      </c>
      <c r="F71" s="2" t="s">
        <v>135</v>
      </c>
      <c r="G71" s="2" t="s">
        <v>135</v>
      </c>
      <c r="H71" s="2" t="s">
        <v>135</v>
      </c>
      <c r="I71" s="2" t="s">
        <v>135</v>
      </c>
      <c r="J71" s="2">
        <v>4.7889999999999997</v>
      </c>
      <c r="K71" s="5">
        <v>1</v>
      </c>
      <c r="L71" s="2" t="s">
        <v>312</v>
      </c>
    </row>
    <row r="72" spans="1:12" hidden="1" x14ac:dyDescent="0.3">
      <c r="A72" s="2" t="s">
        <v>89</v>
      </c>
      <c r="B72" s="2" t="str">
        <f t="shared" si="1"/>
        <v>CH4-137-04-SHALLOW</v>
      </c>
      <c r="C72" s="2">
        <v>4</v>
      </c>
      <c r="D72" s="2">
        <v>2.5899999999999999E-2</v>
      </c>
      <c r="E72" s="2">
        <v>1.8815999999999999</v>
      </c>
      <c r="F72" s="2" t="s">
        <v>135</v>
      </c>
      <c r="G72" s="2" t="s">
        <v>135</v>
      </c>
      <c r="H72" s="2" t="s">
        <v>135</v>
      </c>
      <c r="I72" s="2" t="s">
        <v>135</v>
      </c>
      <c r="J72" s="2">
        <v>4.7880000000000003</v>
      </c>
      <c r="K72" s="5">
        <v>1</v>
      </c>
      <c r="L72" s="2" t="s">
        <v>449</v>
      </c>
    </row>
    <row r="73" spans="1:12" hidden="1" x14ac:dyDescent="0.3">
      <c r="A73" s="2" t="s">
        <v>92</v>
      </c>
      <c r="B73" s="2" t="str">
        <f t="shared" si="1"/>
        <v>CH4-137-04-SHALLOW-BLANK</v>
      </c>
      <c r="C73" s="2">
        <v>4</v>
      </c>
      <c r="D73" s="2" t="s">
        <v>135</v>
      </c>
      <c r="E73" s="2" t="s">
        <v>135</v>
      </c>
      <c r="F73" s="2" t="s">
        <v>135</v>
      </c>
      <c r="G73" s="2" t="s">
        <v>135</v>
      </c>
      <c r="H73" s="2" t="s">
        <v>135</v>
      </c>
      <c r="I73" s="2" t="s">
        <v>135</v>
      </c>
      <c r="J73" s="2" t="s">
        <v>135</v>
      </c>
      <c r="K73" s="5">
        <v>1</v>
      </c>
      <c r="L73" s="2" t="s">
        <v>315</v>
      </c>
    </row>
    <row r="74" spans="1:12" hidden="1" x14ac:dyDescent="0.3">
      <c r="A74" s="2" t="s">
        <v>91</v>
      </c>
      <c r="B74" s="2" t="str">
        <f t="shared" si="1"/>
        <v>CH4-137-04-SHALLOW-DUP</v>
      </c>
      <c r="C74" s="2">
        <v>4</v>
      </c>
      <c r="D74" s="2">
        <v>3.0099999999999998E-2</v>
      </c>
      <c r="E74" s="2">
        <v>1.89</v>
      </c>
      <c r="F74" s="2" t="s">
        <v>135</v>
      </c>
      <c r="G74" s="2" t="s">
        <v>135</v>
      </c>
      <c r="H74" s="2" t="s">
        <v>135</v>
      </c>
      <c r="I74" s="2" t="s">
        <v>135</v>
      </c>
      <c r="J74" s="2">
        <v>4.7430000000000003</v>
      </c>
      <c r="K74" s="5">
        <v>1</v>
      </c>
      <c r="L74" s="2" t="s">
        <v>314</v>
      </c>
    </row>
    <row r="75" spans="1:12" hidden="1" x14ac:dyDescent="0.3">
      <c r="A75" s="2" t="s">
        <v>91</v>
      </c>
      <c r="B75" s="2" t="str">
        <f t="shared" si="1"/>
        <v>CH4-137-04-SHALLOW-DUP</v>
      </c>
      <c r="C75" s="2">
        <v>4</v>
      </c>
      <c r="D75" s="2">
        <v>2.5600000000000001E-2</v>
      </c>
      <c r="E75" s="2">
        <v>1.8662000000000001</v>
      </c>
      <c r="F75" s="2" t="s">
        <v>135</v>
      </c>
      <c r="G75" s="2" t="s">
        <v>135</v>
      </c>
      <c r="H75" s="2" t="s">
        <v>135</v>
      </c>
      <c r="I75" s="2" t="s">
        <v>135</v>
      </c>
      <c r="J75" s="2">
        <v>4.7523999999999997</v>
      </c>
      <c r="K75" s="5">
        <v>1</v>
      </c>
      <c r="L75" s="2" t="s">
        <v>452</v>
      </c>
    </row>
    <row r="76" spans="1:12" hidden="1" x14ac:dyDescent="0.3">
      <c r="A76" s="2" t="s">
        <v>79</v>
      </c>
      <c r="B76" s="2" t="str">
        <f t="shared" si="1"/>
        <v>CH4-149-8-DEEP</v>
      </c>
      <c r="C76" s="2">
        <v>8</v>
      </c>
      <c r="D76" s="2">
        <v>0.25729999999999997</v>
      </c>
      <c r="E76" s="2">
        <v>1.0476000000000001</v>
      </c>
      <c r="F76" s="2" t="s">
        <v>135</v>
      </c>
      <c r="G76" s="2" t="s">
        <v>135</v>
      </c>
      <c r="H76" s="2">
        <v>0.49159999999999998</v>
      </c>
      <c r="I76" s="2" t="s">
        <v>135</v>
      </c>
      <c r="J76" s="2">
        <v>5.8045999999999998</v>
      </c>
      <c r="K76" s="5">
        <v>1</v>
      </c>
      <c r="L76" s="2" t="s">
        <v>299</v>
      </c>
    </row>
    <row r="77" spans="1:12" hidden="1" x14ac:dyDescent="0.3">
      <c r="A77" s="2" t="s">
        <v>78</v>
      </c>
      <c r="B77" s="2" t="str">
        <f t="shared" si="1"/>
        <v>CH4-149-8-SHALLOW</v>
      </c>
      <c r="C77" s="2">
        <v>8</v>
      </c>
      <c r="D77" s="2">
        <v>0.22439999999999999</v>
      </c>
      <c r="E77" s="2">
        <v>0.79049999999999998</v>
      </c>
      <c r="F77" s="2" t="s">
        <v>135</v>
      </c>
      <c r="G77" s="2" t="s">
        <v>135</v>
      </c>
      <c r="H77" s="2">
        <v>0.13919999999999999</v>
      </c>
      <c r="I77" s="2" t="s">
        <v>135</v>
      </c>
      <c r="J77" s="2">
        <v>4.5189000000000004</v>
      </c>
      <c r="K77" s="5">
        <v>1</v>
      </c>
      <c r="L77" s="2" t="s">
        <v>298</v>
      </c>
    </row>
    <row r="78" spans="1:12" hidden="1" x14ac:dyDescent="0.3">
      <c r="A78" s="2" t="s">
        <v>43</v>
      </c>
      <c r="B78" s="2" t="str">
        <f t="shared" si="1"/>
        <v>CH4-155-U25-DEEP</v>
      </c>
      <c r="C78" s="2">
        <v>25</v>
      </c>
      <c r="D78" s="2">
        <v>0.21129999999999999</v>
      </c>
      <c r="E78" s="2">
        <v>6.9835000000000003</v>
      </c>
      <c r="F78" s="2" t="s">
        <v>135</v>
      </c>
      <c r="G78" s="2" t="s">
        <v>135</v>
      </c>
      <c r="H78" s="2" t="s">
        <v>135</v>
      </c>
      <c r="I78" s="2" t="s">
        <v>135</v>
      </c>
      <c r="J78" s="2" t="s">
        <v>135</v>
      </c>
      <c r="K78" s="5">
        <v>1</v>
      </c>
      <c r="L78" s="2" t="s">
        <v>246</v>
      </c>
    </row>
    <row r="79" spans="1:12" hidden="1" x14ac:dyDescent="0.3">
      <c r="A79" s="2" t="s">
        <v>51</v>
      </c>
      <c r="B79" s="2" t="str">
        <f>LEFT(A79,LEN(A79)-3)</f>
        <v>CH4-155-U25-DEEP</v>
      </c>
      <c r="C79" s="2">
        <v>25</v>
      </c>
      <c r="D79" s="2" t="s">
        <v>135</v>
      </c>
      <c r="E79" s="2" t="s">
        <v>135</v>
      </c>
      <c r="F79" s="2" t="s">
        <v>135</v>
      </c>
      <c r="G79" s="2" t="s">
        <v>135</v>
      </c>
      <c r="H79" s="2" t="s">
        <v>135</v>
      </c>
      <c r="I79" s="2" t="s">
        <v>135</v>
      </c>
      <c r="J79" s="2">
        <v>92.757800000000003</v>
      </c>
      <c r="K79" s="5">
        <v>5</v>
      </c>
      <c r="L79" s="2" t="s">
        <v>261</v>
      </c>
    </row>
    <row r="80" spans="1:12" hidden="1" x14ac:dyDescent="0.3">
      <c r="A80" s="2" t="s">
        <v>42</v>
      </c>
      <c r="B80" s="2" t="str">
        <f t="shared" si="1"/>
        <v>CH4-155-U25-SHALLOW</v>
      </c>
      <c r="C80" s="2">
        <v>25</v>
      </c>
      <c r="D80" s="2">
        <v>0.25890000000000002</v>
      </c>
      <c r="E80" s="2">
        <v>9.0518000000000001</v>
      </c>
      <c r="F80" s="2" t="s">
        <v>135</v>
      </c>
      <c r="G80" s="2" t="s">
        <v>135</v>
      </c>
      <c r="H80" s="2" t="s">
        <v>135</v>
      </c>
      <c r="I80" s="2" t="s">
        <v>135</v>
      </c>
      <c r="J80" s="2" t="s">
        <v>135</v>
      </c>
      <c r="K80" s="5">
        <v>1</v>
      </c>
      <c r="L80" s="2" t="s">
        <v>245</v>
      </c>
    </row>
    <row r="81" spans="1:12" hidden="1" x14ac:dyDescent="0.3">
      <c r="A81" s="2" t="s">
        <v>50</v>
      </c>
      <c r="B81" s="2" t="str">
        <f>LEFT(A81,LEN(A81)-3)</f>
        <v>CH4-155-U25-SHALLOW</v>
      </c>
      <c r="C81" s="2">
        <v>25</v>
      </c>
      <c r="D81" s="2" t="s">
        <v>135</v>
      </c>
      <c r="E81" s="2" t="s">
        <v>135</v>
      </c>
      <c r="F81" s="2" t="s">
        <v>135</v>
      </c>
      <c r="G81" s="2" t="s">
        <v>135</v>
      </c>
      <c r="H81" s="2" t="s">
        <v>135</v>
      </c>
      <c r="I81" s="2" t="s">
        <v>135</v>
      </c>
      <c r="J81" s="2">
        <v>127.2303</v>
      </c>
      <c r="K81" s="5">
        <v>5</v>
      </c>
      <c r="L81" s="2" t="s">
        <v>260</v>
      </c>
    </row>
    <row r="82" spans="1:12" x14ac:dyDescent="0.3">
      <c r="A82" s="2" t="s">
        <v>45</v>
      </c>
      <c r="B82" s="2" t="str">
        <f t="shared" si="1"/>
        <v>CH4-155-U25-SHALLOW-BLANK</v>
      </c>
      <c r="C82" s="2">
        <v>25</v>
      </c>
      <c r="D82" s="2" t="s">
        <v>135</v>
      </c>
      <c r="E82" s="2" t="s">
        <v>135</v>
      </c>
      <c r="F82" s="2" t="s">
        <v>135</v>
      </c>
      <c r="G82" s="2" t="s">
        <v>135</v>
      </c>
      <c r="H82" s="2" t="s">
        <v>135</v>
      </c>
      <c r="I82" s="2" t="s">
        <v>135</v>
      </c>
      <c r="J82" s="2" t="s">
        <v>135</v>
      </c>
      <c r="K82" s="5">
        <v>1</v>
      </c>
      <c r="L82" s="2" t="s">
        <v>249</v>
      </c>
    </row>
    <row r="83" spans="1:12" hidden="1" x14ac:dyDescent="0.3">
      <c r="A83" s="2" t="s">
        <v>44</v>
      </c>
      <c r="B83" s="2" t="str">
        <f t="shared" si="1"/>
        <v>CH4-155-U25-SHALLOW-DUP</v>
      </c>
      <c r="C83" s="2">
        <v>25</v>
      </c>
      <c r="D83" s="2">
        <v>0.31059999999999999</v>
      </c>
      <c r="E83" s="2">
        <v>10.8972</v>
      </c>
      <c r="F83" s="2" t="s">
        <v>135</v>
      </c>
      <c r="G83" s="2" t="s">
        <v>135</v>
      </c>
      <c r="H83" s="2" t="s">
        <v>135</v>
      </c>
      <c r="I83" s="2" t="s">
        <v>135</v>
      </c>
      <c r="J83" s="2" t="s">
        <v>135</v>
      </c>
      <c r="K83" s="5">
        <v>1</v>
      </c>
      <c r="L83" s="2" t="s">
        <v>248</v>
      </c>
    </row>
    <row r="84" spans="1:12" hidden="1" x14ac:dyDescent="0.3">
      <c r="A84" s="2" t="s">
        <v>52</v>
      </c>
      <c r="B84" s="2" t="str">
        <f>LEFT(A84,LEN(A84)-3)</f>
        <v>CH4-155-U25-SHALLOW-DUP</v>
      </c>
      <c r="C84" s="2">
        <v>25</v>
      </c>
      <c r="D84" s="2" t="s">
        <v>135</v>
      </c>
      <c r="E84" s="2" t="s">
        <v>135</v>
      </c>
      <c r="F84" s="2" t="s">
        <v>135</v>
      </c>
      <c r="G84" s="2" t="s">
        <v>135</v>
      </c>
      <c r="H84" s="2" t="s">
        <v>135</v>
      </c>
      <c r="I84" s="2" t="s">
        <v>135</v>
      </c>
      <c r="J84" s="2">
        <v>111.3214</v>
      </c>
      <c r="K84" s="5">
        <v>5</v>
      </c>
      <c r="L84" s="2" t="s">
        <v>262</v>
      </c>
    </row>
    <row r="85" spans="1:12" hidden="1" x14ac:dyDescent="0.3">
      <c r="A85" s="2" t="s">
        <v>161</v>
      </c>
      <c r="B85" s="2" t="str">
        <f t="shared" si="1"/>
        <v>CH4-231-S24-DEEP</v>
      </c>
      <c r="C85" s="2">
        <v>24</v>
      </c>
      <c r="D85" s="2">
        <v>0.1739</v>
      </c>
      <c r="E85" s="2" t="s">
        <v>135</v>
      </c>
      <c r="F85" s="2" t="s">
        <v>135</v>
      </c>
      <c r="G85" s="2" t="s">
        <v>135</v>
      </c>
      <c r="H85" s="2" t="s">
        <v>135</v>
      </c>
      <c r="I85" s="2">
        <v>3.9011</v>
      </c>
      <c r="J85" s="2" t="s">
        <v>135</v>
      </c>
      <c r="K85" s="5">
        <v>1</v>
      </c>
      <c r="L85" s="2" t="s">
        <v>513</v>
      </c>
    </row>
    <row r="86" spans="1:12" hidden="1" x14ac:dyDescent="0.3">
      <c r="A86" s="2" t="s">
        <v>24</v>
      </c>
      <c r="B86" s="2" t="str">
        <f>LEFT(A86,LEN(A86)-4)</f>
        <v>CH4-231-S24-DEEP</v>
      </c>
      <c r="C86" s="2">
        <v>24</v>
      </c>
      <c r="D86" s="2" t="s">
        <v>135</v>
      </c>
      <c r="E86" s="2">
        <v>84.066699999999997</v>
      </c>
      <c r="F86" s="2" t="s">
        <v>135</v>
      </c>
      <c r="G86" s="2" t="s">
        <v>135</v>
      </c>
      <c r="H86" s="2" t="s">
        <v>135</v>
      </c>
      <c r="I86" s="2" t="s">
        <v>135</v>
      </c>
      <c r="J86" s="2">
        <v>537.88810000000001</v>
      </c>
      <c r="K86" s="5">
        <v>20</v>
      </c>
      <c r="L86" s="2" t="s">
        <v>224</v>
      </c>
    </row>
    <row r="87" spans="1:12" hidden="1" x14ac:dyDescent="0.3">
      <c r="A87" s="2" t="s">
        <v>160</v>
      </c>
      <c r="B87" s="2" t="str">
        <f t="shared" si="1"/>
        <v>CH4-231-S24-SHALLOW</v>
      </c>
      <c r="C87" s="2">
        <v>24</v>
      </c>
      <c r="D87" s="2">
        <v>0.16470000000000001</v>
      </c>
      <c r="E87" s="2" t="s">
        <v>135</v>
      </c>
      <c r="F87" s="2" t="s">
        <v>135</v>
      </c>
      <c r="G87" s="2" t="s">
        <v>135</v>
      </c>
      <c r="H87" s="2" t="s">
        <v>135</v>
      </c>
      <c r="I87" s="2">
        <v>3.7475999999999998</v>
      </c>
      <c r="J87" s="2" t="s">
        <v>135</v>
      </c>
      <c r="K87" s="5">
        <v>1</v>
      </c>
      <c r="L87" s="2" t="s">
        <v>512</v>
      </c>
    </row>
    <row r="88" spans="1:12" hidden="1" x14ac:dyDescent="0.3">
      <c r="A88" s="2" t="s">
        <v>22</v>
      </c>
      <c r="B88" s="2" t="str">
        <f>LEFT(A88,LEN(A88)-4)</f>
        <v>CH4-231-S24-SHALLOW</v>
      </c>
      <c r="C88" s="2">
        <v>24</v>
      </c>
      <c r="D88" s="2" t="s">
        <v>135</v>
      </c>
      <c r="E88" s="2">
        <v>67.405600000000007</v>
      </c>
      <c r="F88" s="2" t="s">
        <v>135</v>
      </c>
      <c r="G88" s="2" t="s">
        <v>135</v>
      </c>
      <c r="H88" s="2" t="s">
        <v>135</v>
      </c>
      <c r="I88" s="2" t="s">
        <v>135</v>
      </c>
      <c r="J88" s="2">
        <v>390.88729999999998</v>
      </c>
      <c r="K88" s="5">
        <v>20</v>
      </c>
      <c r="L88" s="2" t="s">
        <v>222</v>
      </c>
    </row>
    <row r="89" spans="1:12" hidden="1" x14ac:dyDescent="0.3">
      <c r="A89" s="2" t="s">
        <v>41</v>
      </c>
      <c r="B89" s="2" t="str">
        <f t="shared" si="1"/>
        <v>CH4-232-U13-DEEP</v>
      </c>
      <c r="C89" s="2">
        <v>13</v>
      </c>
      <c r="D89" s="2">
        <v>0.19339999999999999</v>
      </c>
      <c r="E89" s="2">
        <v>22.305299999999999</v>
      </c>
      <c r="F89" s="2" t="s">
        <v>135</v>
      </c>
      <c r="G89" s="2">
        <v>0.18659999999999999</v>
      </c>
      <c r="H89" s="2" t="s">
        <v>135</v>
      </c>
      <c r="I89" s="2">
        <v>0.6885</v>
      </c>
      <c r="J89" s="2" t="s">
        <v>135</v>
      </c>
      <c r="K89" s="5">
        <v>1</v>
      </c>
      <c r="L89" s="2" t="s">
        <v>244</v>
      </c>
    </row>
    <row r="90" spans="1:12" hidden="1" x14ac:dyDescent="0.3">
      <c r="A90" s="2" t="s">
        <v>49</v>
      </c>
      <c r="B90" s="2" t="str">
        <f>LEFT(A90,LEN(A90)-4)</f>
        <v>CH4-232-U13-DEEP</v>
      </c>
      <c r="C90" s="2">
        <v>13</v>
      </c>
      <c r="D90" s="2" t="s">
        <v>135</v>
      </c>
      <c r="E90" s="2" t="s">
        <v>135</v>
      </c>
      <c r="F90" s="2" t="s">
        <v>135</v>
      </c>
      <c r="G90" s="2" t="s">
        <v>135</v>
      </c>
      <c r="H90" s="2" t="s">
        <v>135</v>
      </c>
      <c r="I90" s="2" t="s">
        <v>135</v>
      </c>
      <c r="J90" s="2">
        <v>555.80229999999995</v>
      </c>
      <c r="K90" s="5">
        <v>20</v>
      </c>
      <c r="L90" s="2" t="s">
        <v>259</v>
      </c>
    </row>
    <row r="91" spans="1:12" hidden="1" x14ac:dyDescent="0.3">
      <c r="A91" s="2" t="s">
        <v>40</v>
      </c>
      <c r="B91" s="2" t="str">
        <f t="shared" si="1"/>
        <v>CH4-232-U13-SHALLOW</v>
      </c>
      <c r="C91" s="2">
        <v>13</v>
      </c>
      <c r="D91" s="2">
        <v>0.21609999999999999</v>
      </c>
      <c r="E91" s="2">
        <v>22.2927</v>
      </c>
      <c r="F91" s="2" t="s">
        <v>135</v>
      </c>
      <c r="G91" s="2">
        <v>0.18410000000000001</v>
      </c>
      <c r="H91" s="2" t="s">
        <v>135</v>
      </c>
      <c r="I91" s="2">
        <v>0.38729999999999998</v>
      </c>
      <c r="J91" s="2" t="s">
        <v>135</v>
      </c>
      <c r="K91" s="5">
        <v>1</v>
      </c>
      <c r="L91" s="2" t="s">
        <v>243</v>
      </c>
    </row>
    <row r="92" spans="1:12" hidden="1" x14ac:dyDescent="0.3">
      <c r="A92" s="2" t="s">
        <v>48</v>
      </c>
      <c r="B92" s="2" t="str">
        <f>LEFT(A92,LEN(A92)-4)</f>
        <v>CH4-232-U13-SHALLOW</v>
      </c>
      <c r="C92" s="2">
        <v>13</v>
      </c>
      <c r="D92" s="2" t="s">
        <v>135</v>
      </c>
      <c r="E92" s="2" t="s">
        <v>135</v>
      </c>
      <c r="F92" s="2" t="s">
        <v>135</v>
      </c>
      <c r="G92" s="2" t="s">
        <v>135</v>
      </c>
      <c r="H92" s="2" t="s">
        <v>135</v>
      </c>
      <c r="I92" s="2" t="s">
        <v>135</v>
      </c>
      <c r="J92" s="2">
        <v>644.73329999999999</v>
      </c>
      <c r="K92" s="5">
        <v>20</v>
      </c>
      <c r="L92" s="2" t="s">
        <v>258</v>
      </c>
    </row>
    <row r="93" spans="1:12" hidden="1" x14ac:dyDescent="0.3">
      <c r="A93" s="2" t="s">
        <v>54</v>
      </c>
      <c r="B93" s="2" t="str">
        <f t="shared" si="1"/>
        <v>CH4-233-S18-DEEP</v>
      </c>
      <c r="C93" s="2">
        <v>18</v>
      </c>
      <c r="D93" s="2">
        <v>6.1600000000000002E-2</v>
      </c>
      <c r="E93" s="2">
        <v>8.7767999999999997</v>
      </c>
      <c r="F93" s="2" t="s">
        <v>135</v>
      </c>
      <c r="G93" s="2" t="s">
        <v>135</v>
      </c>
      <c r="H93" s="2" t="s">
        <v>135</v>
      </c>
      <c r="I93" s="2" t="s">
        <v>135</v>
      </c>
      <c r="J93" s="2">
        <v>5.6550000000000002</v>
      </c>
      <c r="K93" s="5">
        <v>1</v>
      </c>
      <c r="L93" s="2" t="s">
        <v>264</v>
      </c>
    </row>
    <row r="94" spans="1:12" hidden="1" x14ac:dyDescent="0.3">
      <c r="A94" s="2" t="s">
        <v>53</v>
      </c>
      <c r="B94" s="2" t="str">
        <f t="shared" si="1"/>
        <v>CH4-233-S18-SHALLOW</v>
      </c>
      <c r="C94" s="2">
        <v>18</v>
      </c>
      <c r="D94" s="2">
        <v>7.0599999999999996E-2</v>
      </c>
      <c r="E94" s="2">
        <v>8.8521999999999998</v>
      </c>
      <c r="F94" s="2" t="s">
        <v>135</v>
      </c>
      <c r="G94" s="2" t="s">
        <v>135</v>
      </c>
      <c r="H94" s="2" t="s">
        <v>135</v>
      </c>
      <c r="I94" s="2" t="s">
        <v>135</v>
      </c>
      <c r="J94" s="2">
        <v>5.8438999999999997</v>
      </c>
      <c r="K94" s="5">
        <v>1</v>
      </c>
      <c r="L94" s="2" t="s">
        <v>263</v>
      </c>
    </row>
    <row r="95" spans="1:12" hidden="1" x14ac:dyDescent="0.3">
      <c r="A95" s="2" t="s">
        <v>56</v>
      </c>
      <c r="B95" s="2" t="str">
        <f t="shared" si="1"/>
        <v>CH4-233-S18-SHALLOW BLANK</v>
      </c>
      <c r="C95" s="2">
        <v>18</v>
      </c>
      <c r="D95" s="2">
        <v>4.7300000000000002E-2</v>
      </c>
      <c r="E95" s="2">
        <v>0.34839999999999999</v>
      </c>
      <c r="F95" s="2" t="s">
        <v>135</v>
      </c>
      <c r="G95" s="2" t="s">
        <v>135</v>
      </c>
      <c r="H95" s="2">
        <v>3.9100000000000003E-2</v>
      </c>
      <c r="I95" s="2" t="s">
        <v>135</v>
      </c>
      <c r="J95" s="2">
        <v>7.8399999999999997E-2</v>
      </c>
      <c r="K95" s="5">
        <v>1</v>
      </c>
      <c r="L95" s="2" t="s">
        <v>266</v>
      </c>
    </row>
    <row r="96" spans="1:12" hidden="1" x14ac:dyDescent="0.3">
      <c r="A96" s="2" t="s">
        <v>55</v>
      </c>
      <c r="B96" s="2" t="str">
        <f t="shared" si="1"/>
        <v>CH4-233-S18-SHALLOW DUP</v>
      </c>
      <c r="C96" s="2">
        <v>18</v>
      </c>
      <c r="D96" s="2">
        <v>5.96E-2</v>
      </c>
      <c r="E96" s="2">
        <v>8.0729000000000006</v>
      </c>
      <c r="F96" s="2" t="s">
        <v>135</v>
      </c>
      <c r="G96" s="2" t="s">
        <v>135</v>
      </c>
      <c r="H96" s="2" t="s">
        <v>135</v>
      </c>
      <c r="I96" s="2" t="s">
        <v>135</v>
      </c>
      <c r="J96" s="2">
        <v>5.4813999999999998</v>
      </c>
      <c r="K96" s="5">
        <v>1</v>
      </c>
      <c r="L96" s="2" t="s">
        <v>265</v>
      </c>
    </row>
    <row r="97" spans="1:12" hidden="1" x14ac:dyDescent="0.3">
      <c r="A97" s="2" t="s">
        <v>64</v>
      </c>
      <c r="B97" s="2" t="str">
        <f t="shared" si="1"/>
        <v>CH4-236-U07-DEEP</v>
      </c>
      <c r="C97" s="2">
        <v>7</v>
      </c>
      <c r="D97" s="2">
        <v>7.5600000000000001E-2</v>
      </c>
      <c r="E97" s="2" t="s">
        <v>135</v>
      </c>
      <c r="F97" s="2" t="s">
        <v>135</v>
      </c>
      <c r="G97" s="2" t="s">
        <v>135</v>
      </c>
      <c r="H97" s="2">
        <v>10.318099999999999</v>
      </c>
      <c r="I97" s="2" t="s">
        <v>135</v>
      </c>
      <c r="J97" s="2">
        <v>22.970300000000002</v>
      </c>
      <c r="K97" s="5">
        <v>1</v>
      </c>
      <c r="L97" s="2" t="s">
        <v>277</v>
      </c>
    </row>
    <row r="98" spans="1:12" hidden="1" x14ac:dyDescent="0.3">
      <c r="A98" s="2" t="s">
        <v>85</v>
      </c>
      <c r="B98" s="2" t="str">
        <f>LEFT(A98,LEN(A98)-3)</f>
        <v>CH4-236-U07-DEEP</v>
      </c>
      <c r="C98" s="2">
        <v>7</v>
      </c>
      <c r="D98" s="2" t="s">
        <v>135</v>
      </c>
      <c r="E98" s="2">
        <v>29.016500000000001</v>
      </c>
      <c r="F98" s="2" t="s">
        <v>135</v>
      </c>
      <c r="G98" s="2" t="s">
        <v>135</v>
      </c>
      <c r="H98" s="2" t="s">
        <v>135</v>
      </c>
      <c r="I98" s="2" t="s">
        <v>135</v>
      </c>
      <c r="J98" s="2" t="s">
        <v>135</v>
      </c>
      <c r="K98" s="5">
        <v>2</v>
      </c>
      <c r="L98" s="2" t="s">
        <v>308</v>
      </c>
    </row>
    <row r="99" spans="1:12" hidden="1" x14ac:dyDescent="0.3">
      <c r="A99" s="2" t="s">
        <v>63</v>
      </c>
      <c r="B99" s="2" t="str">
        <f t="shared" si="1"/>
        <v>CH4-236-U07-SHALLOW</v>
      </c>
      <c r="C99" s="2">
        <v>7</v>
      </c>
      <c r="D99" s="2">
        <v>0.10630000000000001</v>
      </c>
      <c r="E99" s="2" t="s">
        <v>135</v>
      </c>
      <c r="F99" s="2" t="s">
        <v>135</v>
      </c>
      <c r="G99" s="2" t="s">
        <v>135</v>
      </c>
      <c r="H99" s="2">
        <v>12.988899999999999</v>
      </c>
      <c r="I99" s="2" t="s">
        <v>135</v>
      </c>
      <c r="J99" s="2">
        <v>22.671600000000002</v>
      </c>
      <c r="K99" s="5">
        <v>1</v>
      </c>
      <c r="L99" s="2" t="s">
        <v>276</v>
      </c>
    </row>
    <row r="100" spans="1:12" hidden="1" x14ac:dyDescent="0.3">
      <c r="A100" s="2" t="s">
        <v>84</v>
      </c>
      <c r="B100" s="2" t="str">
        <f>LEFT(A100,LEN(A100)-3)</f>
        <v>CH4-236-U07-SHALLOW</v>
      </c>
      <c r="C100" s="2">
        <v>7</v>
      </c>
      <c r="D100" s="2" t="s">
        <v>135</v>
      </c>
      <c r="E100" s="2">
        <v>28.982099999999999</v>
      </c>
      <c r="F100" s="2" t="s">
        <v>135</v>
      </c>
      <c r="G100" s="2" t="s">
        <v>135</v>
      </c>
      <c r="H100" s="2" t="s">
        <v>135</v>
      </c>
      <c r="I100" s="2" t="s">
        <v>135</v>
      </c>
      <c r="J100" s="2" t="s">
        <v>135</v>
      </c>
      <c r="K100" s="5">
        <v>2</v>
      </c>
      <c r="L100" s="2" t="s">
        <v>304</v>
      </c>
    </row>
    <row r="101" spans="1:12" hidden="1" x14ac:dyDescent="0.3">
      <c r="A101" s="2" t="s">
        <v>77</v>
      </c>
      <c r="B101" s="2" t="str">
        <f t="shared" si="1"/>
        <v>CH4-237-U15-DEEP</v>
      </c>
      <c r="C101" s="2">
        <v>15</v>
      </c>
      <c r="D101" s="2">
        <v>3.5499999999999997E-2</v>
      </c>
      <c r="E101" s="2">
        <v>15.3811</v>
      </c>
      <c r="F101" s="2" t="s">
        <v>135</v>
      </c>
      <c r="G101" s="2" t="s">
        <v>135</v>
      </c>
      <c r="H101" s="2">
        <v>10.608700000000001</v>
      </c>
      <c r="I101" s="2" t="s">
        <v>135</v>
      </c>
      <c r="J101" s="2">
        <v>8.5627999999999993</v>
      </c>
      <c r="K101" s="5">
        <v>1</v>
      </c>
      <c r="L101" s="2" t="s">
        <v>297</v>
      </c>
    </row>
    <row r="102" spans="1:12" hidden="1" x14ac:dyDescent="0.3">
      <c r="A102" s="2" t="s">
        <v>76</v>
      </c>
      <c r="B102" s="2" t="str">
        <f t="shared" si="1"/>
        <v>CH4-237-U15-SHALLOW</v>
      </c>
      <c r="C102" s="2">
        <v>15</v>
      </c>
      <c r="D102" s="2">
        <v>2.8799999999999999E-2</v>
      </c>
      <c r="E102" s="2">
        <v>15.399100000000001</v>
      </c>
      <c r="F102" s="2" t="s">
        <v>135</v>
      </c>
      <c r="G102" s="2" t="s">
        <v>135</v>
      </c>
      <c r="H102" s="2">
        <v>10.5418</v>
      </c>
      <c r="I102" s="2" t="s">
        <v>135</v>
      </c>
      <c r="J102" s="2">
        <v>8.6808999999999994</v>
      </c>
      <c r="K102" s="5">
        <v>1</v>
      </c>
      <c r="L102" s="2" t="s">
        <v>296</v>
      </c>
    </row>
    <row r="103" spans="1:12" hidden="1" x14ac:dyDescent="0.3">
      <c r="A103" s="2" t="s">
        <v>66</v>
      </c>
      <c r="B103" s="2" t="str">
        <f t="shared" si="1"/>
        <v>CH4-240-01-DEEP</v>
      </c>
      <c r="C103" s="2">
        <v>1</v>
      </c>
      <c r="D103" s="2">
        <v>0.21179999999999999</v>
      </c>
      <c r="E103" s="2" t="s">
        <v>135</v>
      </c>
      <c r="F103" s="2" t="s">
        <v>135</v>
      </c>
      <c r="G103" s="2">
        <v>6.9699999999999998E-2</v>
      </c>
      <c r="H103" s="2" t="s">
        <v>135</v>
      </c>
      <c r="I103" s="2">
        <v>0.39629999999999999</v>
      </c>
      <c r="J103" s="2">
        <v>18.873799999999999</v>
      </c>
      <c r="K103" s="5">
        <v>1</v>
      </c>
      <c r="L103" s="2" t="s">
        <v>279</v>
      </c>
    </row>
    <row r="104" spans="1:12" hidden="1" x14ac:dyDescent="0.3">
      <c r="A104" s="2" t="s">
        <v>83</v>
      </c>
      <c r="B104" s="2" t="str">
        <f>LEFT(A104,LEN(A104)-3)</f>
        <v>CH4-240-01-DEEP</v>
      </c>
      <c r="C104" s="2">
        <v>1</v>
      </c>
      <c r="D104" s="2" t="s">
        <v>135</v>
      </c>
      <c r="E104" s="2">
        <v>40.311900000000001</v>
      </c>
      <c r="F104" s="2" t="s">
        <v>135</v>
      </c>
      <c r="G104" s="2" t="s">
        <v>135</v>
      </c>
      <c r="H104" s="2" t="s">
        <v>135</v>
      </c>
      <c r="I104" s="2" t="s">
        <v>135</v>
      </c>
      <c r="J104" s="2" t="s">
        <v>135</v>
      </c>
      <c r="K104" s="5">
        <v>2</v>
      </c>
      <c r="L104" s="2" t="s">
        <v>303</v>
      </c>
    </row>
    <row r="105" spans="1:12" hidden="1" x14ac:dyDescent="0.3">
      <c r="A105" s="2" t="s">
        <v>65</v>
      </c>
      <c r="B105" s="2" t="str">
        <f t="shared" si="1"/>
        <v>CH4-240-01-SHALLOW</v>
      </c>
      <c r="C105" s="2">
        <v>1</v>
      </c>
      <c r="D105" s="2">
        <v>0.17499999999999999</v>
      </c>
      <c r="E105" s="2">
        <v>23.5366</v>
      </c>
      <c r="F105" s="2" t="s">
        <v>135</v>
      </c>
      <c r="G105" s="2" t="s">
        <v>135</v>
      </c>
      <c r="H105" s="2" t="s">
        <v>135</v>
      </c>
      <c r="I105" s="2" t="s">
        <v>135</v>
      </c>
      <c r="J105" s="2">
        <v>17.916899999999998</v>
      </c>
      <c r="K105" s="5">
        <v>1</v>
      </c>
      <c r="L105" s="2" t="s">
        <v>278</v>
      </c>
    </row>
    <row r="106" spans="1:12" hidden="1" x14ac:dyDescent="0.3">
      <c r="A106" s="2" t="s">
        <v>60</v>
      </c>
      <c r="B106" s="2" t="str">
        <f t="shared" si="1"/>
        <v>CH4-275-U12-DEEP</v>
      </c>
      <c r="C106" s="2">
        <v>12</v>
      </c>
      <c r="D106" s="2">
        <v>0.41220000000000001</v>
      </c>
      <c r="E106" s="2">
        <v>34.384</v>
      </c>
      <c r="F106" s="2" t="s">
        <v>135</v>
      </c>
      <c r="G106" s="2">
        <v>0.308</v>
      </c>
      <c r="H106" s="2" t="s">
        <v>135</v>
      </c>
      <c r="I106" s="2">
        <v>0.99980000000000002</v>
      </c>
      <c r="J106" s="2">
        <v>15.3179</v>
      </c>
      <c r="K106" s="5">
        <v>1</v>
      </c>
      <c r="L106" s="2" t="s">
        <v>273</v>
      </c>
    </row>
    <row r="107" spans="1:12" hidden="1" x14ac:dyDescent="0.3">
      <c r="A107" s="2" t="s">
        <v>81</v>
      </c>
      <c r="B107" s="2" t="str">
        <f>LEFT(A107,LEN(A107)-3)</f>
        <v>CH4-275-U12-DEEP</v>
      </c>
      <c r="C107" s="2">
        <v>12</v>
      </c>
      <c r="D107" s="2" t="s">
        <v>135</v>
      </c>
      <c r="E107" s="2">
        <v>68.212199999999996</v>
      </c>
      <c r="F107" s="2" t="s">
        <v>135</v>
      </c>
      <c r="G107" s="2" t="s">
        <v>135</v>
      </c>
      <c r="H107" s="2" t="s">
        <v>135</v>
      </c>
      <c r="I107" s="2" t="s">
        <v>135</v>
      </c>
      <c r="J107" s="2" t="s">
        <v>135</v>
      </c>
      <c r="K107" s="5">
        <v>2</v>
      </c>
      <c r="L107" s="2" t="s">
        <v>301</v>
      </c>
    </row>
    <row r="108" spans="1:12" hidden="1" x14ac:dyDescent="0.3">
      <c r="A108" s="2" t="s">
        <v>57</v>
      </c>
      <c r="B108" s="2" t="str">
        <f t="shared" si="1"/>
        <v>CH4-275-U12-SHALLOW</v>
      </c>
      <c r="C108" s="2">
        <v>12</v>
      </c>
      <c r="D108" s="2">
        <v>0.35749999999999998</v>
      </c>
      <c r="E108" s="2" t="s">
        <v>135</v>
      </c>
      <c r="F108" s="2" t="s">
        <v>135</v>
      </c>
      <c r="G108" s="2">
        <v>0.31109999999999999</v>
      </c>
      <c r="H108" s="2" t="s">
        <v>135</v>
      </c>
      <c r="I108" s="2" t="s">
        <v>135</v>
      </c>
      <c r="J108" s="2">
        <v>18.389199999999999</v>
      </c>
      <c r="K108" s="5">
        <v>1</v>
      </c>
      <c r="L108" s="2" t="s">
        <v>270</v>
      </c>
    </row>
    <row r="109" spans="1:12" hidden="1" x14ac:dyDescent="0.3">
      <c r="A109" s="2" t="s">
        <v>80</v>
      </c>
      <c r="B109" s="2" t="str">
        <f>LEFT(A109,LEN(A109)-3)</f>
        <v>CH4-275-U12-SHALLOW</v>
      </c>
      <c r="C109" s="2">
        <v>12</v>
      </c>
      <c r="D109" s="2" t="s">
        <v>135</v>
      </c>
      <c r="E109" s="2">
        <v>69.017300000000006</v>
      </c>
      <c r="F109" s="2" t="s">
        <v>135</v>
      </c>
      <c r="G109" s="2" t="s">
        <v>135</v>
      </c>
      <c r="H109" s="2" t="s">
        <v>135</v>
      </c>
      <c r="I109" s="2" t="s">
        <v>135</v>
      </c>
      <c r="J109" s="2" t="s">
        <v>135</v>
      </c>
      <c r="K109" s="5">
        <v>2</v>
      </c>
      <c r="L109" s="2" t="s">
        <v>300</v>
      </c>
    </row>
    <row r="110" spans="1:12" x14ac:dyDescent="0.3">
      <c r="A110" s="2" t="s">
        <v>62</v>
      </c>
      <c r="B110" s="2" t="str">
        <f t="shared" si="1"/>
        <v>CH4-275-U12-SHALLOW-BLANK</v>
      </c>
      <c r="C110" s="2">
        <v>12</v>
      </c>
      <c r="D110" s="2" t="s">
        <v>135</v>
      </c>
      <c r="E110" s="2" t="s">
        <v>135</v>
      </c>
      <c r="F110" s="2" t="s">
        <v>135</v>
      </c>
      <c r="G110" s="2" t="s">
        <v>135</v>
      </c>
      <c r="H110" s="2" t="s">
        <v>135</v>
      </c>
      <c r="I110" s="2" t="s">
        <v>135</v>
      </c>
      <c r="J110" s="2" t="s">
        <v>135</v>
      </c>
      <c r="K110" s="5">
        <v>1</v>
      </c>
      <c r="L110" s="2" t="s">
        <v>275</v>
      </c>
    </row>
    <row r="111" spans="1:12" hidden="1" x14ac:dyDescent="0.3">
      <c r="A111" s="2" t="s">
        <v>61</v>
      </c>
      <c r="B111" s="2" t="str">
        <f t="shared" si="1"/>
        <v>CH4-275-U12-SHALLOW-DUP</v>
      </c>
      <c r="C111" s="2">
        <v>12</v>
      </c>
      <c r="D111" s="2">
        <v>0.41410000000000002</v>
      </c>
      <c r="E111" s="2" t="s">
        <v>135</v>
      </c>
      <c r="F111" s="2" t="s">
        <v>135</v>
      </c>
      <c r="G111" s="2">
        <v>0.313</v>
      </c>
      <c r="H111" s="2" t="s">
        <v>135</v>
      </c>
      <c r="I111" s="2" t="s">
        <v>135</v>
      </c>
      <c r="J111" s="2">
        <v>18.750399999999999</v>
      </c>
      <c r="K111" s="5">
        <v>1</v>
      </c>
      <c r="L111" s="2" t="s">
        <v>274</v>
      </c>
    </row>
    <row r="112" spans="1:12" hidden="1" x14ac:dyDescent="0.3">
      <c r="A112" s="2" t="s">
        <v>82</v>
      </c>
      <c r="B112" s="2" t="str">
        <f>LEFT(A112,LEN(A112)-3)</f>
        <v>CH4-275-U12-SHALLOW-DUP</v>
      </c>
      <c r="C112" s="2">
        <v>12</v>
      </c>
      <c r="D112" s="2" t="s">
        <v>135</v>
      </c>
      <c r="E112" s="2">
        <v>68.169399999999996</v>
      </c>
      <c r="F112" s="2" t="s">
        <v>135</v>
      </c>
      <c r="G112" s="2" t="s">
        <v>135</v>
      </c>
      <c r="H112" s="2" t="s">
        <v>135</v>
      </c>
      <c r="I112" s="2" t="s">
        <v>135</v>
      </c>
      <c r="J112" s="2" t="s">
        <v>135</v>
      </c>
      <c r="K112" s="5">
        <v>2</v>
      </c>
      <c r="L112" s="2" t="s">
        <v>302</v>
      </c>
    </row>
    <row r="113" spans="1:12" hidden="1" x14ac:dyDescent="0.3">
      <c r="A113" s="2" t="s">
        <v>147</v>
      </c>
      <c r="B113" s="2" t="str">
        <f t="shared" si="1"/>
        <v>CH4-288-U10-DEEP</v>
      </c>
      <c r="C113" s="2">
        <v>10</v>
      </c>
      <c r="D113" s="2">
        <v>0.1898</v>
      </c>
      <c r="E113" s="2" t="s">
        <v>135</v>
      </c>
      <c r="F113" s="2" t="s">
        <v>135</v>
      </c>
      <c r="G113" s="2" t="s">
        <v>135</v>
      </c>
      <c r="H113" s="2" t="s">
        <v>135</v>
      </c>
      <c r="I113" s="2" t="s">
        <v>135</v>
      </c>
      <c r="J113" s="2">
        <v>38.611199999999997</v>
      </c>
      <c r="K113" s="5">
        <v>1</v>
      </c>
      <c r="L113" s="2" t="s">
        <v>498</v>
      </c>
    </row>
    <row r="114" spans="1:12" hidden="1" x14ac:dyDescent="0.3">
      <c r="A114" s="2" t="s">
        <v>16</v>
      </c>
      <c r="B114" s="2" t="str">
        <f>LEFT(A114,LEN(A114)-5)</f>
        <v>CH4-288-U10-DEEP</v>
      </c>
      <c r="C114" s="2">
        <v>10</v>
      </c>
      <c r="D114" s="2" t="s">
        <v>135</v>
      </c>
      <c r="E114" s="2">
        <v>319.91050000000001</v>
      </c>
      <c r="F114" s="2" t="s">
        <v>135</v>
      </c>
      <c r="G114" s="2" t="s">
        <v>135</v>
      </c>
      <c r="H114" s="2" t="s">
        <v>135</v>
      </c>
      <c r="I114" s="2" t="s">
        <v>135</v>
      </c>
      <c r="J114" s="2" t="s">
        <v>135</v>
      </c>
      <c r="K114" s="5">
        <v>100</v>
      </c>
      <c r="L114" s="2" t="s">
        <v>216</v>
      </c>
    </row>
    <row r="115" spans="1:12" hidden="1" x14ac:dyDescent="0.3">
      <c r="A115" s="2" t="s">
        <v>144</v>
      </c>
      <c r="B115" s="2" t="str">
        <f t="shared" si="1"/>
        <v>CH4-288-U10-SHALLOW</v>
      </c>
      <c r="C115" s="2">
        <v>10</v>
      </c>
      <c r="D115" s="2">
        <v>0.22819999999999999</v>
      </c>
      <c r="E115" s="2" t="s">
        <v>135</v>
      </c>
      <c r="F115" s="2" t="s">
        <v>135</v>
      </c>
      <c r="G115" s="2" t="s">
        <v>135</v>
      </c>
      <c r="H115" s="2" t="s">
        <v>135</v>
      </c>
      <c r="I115" s="2" t="s">
        <v>135</v>
      </c>
      <c r="J115" s="2">
        <v>40.835299999999997</v>
      </c>
      <c r="K115" s="5">
        <v>1</v>
      </c>
      <c r="L115" s="2" t="s">
        <v>495</v>
      </c>
    </row>
    <row r="116" spans="1:12" hidden="1" x14ac:dyDescent="0.3">
      <c r="A116" s="2" t="s">
        <v>13</v>
      </c>
      <c r="B116" s="2" t="str">
        <f>LEFT(A116,LEN(A116)-5)</f>
        <v>CH4-288-U10-SHALLOW</v>
      </c>
      <c r="C116" s="2">
        <v>10</v>
      </c>
      <c r="D116" s="2" t="s">
        <v>135</v>
      </c>
      <c r="E116" s="2">
        <v>327.56979999999999</v>
      </c>
      <c r="F116" s="2" t="s">
        <v>135</v>
      </c>
      <c r="G116" s="2" t="s">
        <v>135</v>
      </c>
      <c r="H116" s="2" t="s">
        <v>135</v>
      </c>
      <c r="I116" s="2" t="s">
        <v>135</v>
      </c>
      <c r="J116" s="2" t="s">
        <v>135</v>
      </c>
      <c r="K116" s="5">
        <v>100</v>
      </c>
      <c r="L116" s="2" t="s">
        <v>213</v>
      </c>
    </row>
    <row r="117" spans="1:12" hidden="1" x14ac:dyDescent="0.3">
      <c r="A117" s="2" t="s">
        <v>148</v>
      </c>
      <c r="B117" s="2" t="str">
        <f>LEFT(A117,LEN(A117)-5)</f>
        <v>CH4-288-U10-SHALLO</v>
      </c>
      <c r="C117" s="2">
        <v>10</v>
      </c>
      <c r="D117" s="2">
        <v>0.2324</v>
      </c>
      <c r="E117" s="2" t="s">
        <v>135</v>
      </c>
      <c r="F117" s="2" t="s">
        <v>135</v>
      </c>
      <c r="G117" s="2" t="s">
        <v>135</v>
      </c>
      <c r="H117" s="2" t="s">
        <v>135</v>
      </c>
      <c r="I117" s="2" t="s">
        <v>135</v>
      </c>
      <c r="J117" s="2">
        <v>40.573799999999999</v>
      </c>
      <c r="K117" s="5">
        <v>1</v>
      </c>
      <c r="L117" s="2" t="s">
        <v>499</v>
      </c>
    </row>
    <row r="118" spans="1:12" hidden="1" x14ac:dyDescent="0.3">
      <c r="A118" s="2" t="s">
        <v>17</v>
      </c>
      <c r="B118" s="2" t="str">
        <f>LEFT(A118,LEN(A118)-5)</f>
        <v>CH4-288-U10-SHALLOW DUP</v>
      </c>
      <c r="C118" s="2">
        <v>10</v>
      </c>
      <c r="D118" s="2" t="s">
        <v>135</v>
      </c>
      <c r="E118" s="2">
        <v>330.7835</v>
      </c>
      <c r="F118" s="2" t="s">
        <v>135</v>
      </c>
      <c r="G118" s="2" t="s">
        <v>135</v>
      </c>
      <c r="H118" s="2" t="s">
        <v>135</v>
      </c>
      <c r="I118" s="2" t="s">
        <v>135</v>
      </c>
      <c r="J118" s="2" t="s">
        <v>135</v>
      </c>
      <c r="K118" s="5">
        <v>100</v>
      </c>
      <c r="L118" s="2" t="s">
        <v>217</v>
      </c>
    </row>
    <row r="119" spans="1:12" hidden="1" x14ac:dyDescent="0.3">
      <c r="A119" s="2" t="s">
        <v>149</v>
      </c>
      <c r="B119" s="2" t="str">
        <f t="shared" si="1"/>
        <v>CH4-288-U10-SHALLOW BLANK</v>
      </c>
      <c r="C119" s="2">
        <v>10</v>
      </c>
      <c r="D119" s="2" t="s">
        <v>135</v>
      </c>
      <c r="E119" s="2">
        <v>9.7600000000000006E-2</v>
      </c>
      <c r="F119" s="2" t="s">
        <v>135</v>
      </c>
      <c r="G119" s="2" t="s">
        <v>135</v>
      </c>
      <c r="H119" s="2" t="s">
        <v>135</v>
      </c>
      <c r="I119" s="2" t="s">
        <v>135</v>
      </c>
      <c r="J119" s="2" t="s">
        <v>135</v>
      </c>
      <c r="K119" s="5">
        <v>1</v>
      </c>
      <c r="L119" s="2" t="s">
        <v>500</v>
      </c>
    </row>
    <row r="120" spans="1:12" hidden="1" x14ac:dyDescent="0.3">
      <c r="A120" s="2" t="s">
        <v>527</v>
      </c>
      <c r="B120" s="2" t="str">
        <f t="shared" si="1"/>
        <v>CH4-291-U13-DEEP</v>
      </c>
      <c r="C120" s="2">
        <v>13</v>
      </c>
      <c r="D120" s="2">
        <v>0.11700000000000001</v>
      </c>
      <c r="E120" s="2">
        <v>12.0274</v>
      </c>
      <c r="F120" s="2" t="s">
        <v>135</v>
      </c>
      <c r="G120" s="2" t="s">
        <v>135</v>
      </c>
      <c r="H120" s="2">
        <v>0.69720000000000004</v>
      </c>
      <c r="I120" s="2" t="s">
        <v>135</v>
      </c>
      <c r="J120" s="2">
        <v>23.711200000000002</v>
      </c>
      <c r="K120" s="5">
        <v>1</v>
      </c>
      <c r="L120" s="2" t="s">
        <v>589</v>
      </c>
    </row>
    <row r="121" spans="1:12" hidden="1" x14ac:dyDescent="0.3">
      <c r="A121" s="2" t="s">
        <v>528</v>
      </c>
      <c r="B121" s="2" t="str">
        <f t="shared" si="1"/>
        <v>CH4-291-U13-SHALLOW</v>
      </c>
      <c r="C121" s="2">
        <v>13</v>
      </c>
      <c r="D121" s="2">
        <v>0.10199999999999999</v>
      </c>
      <c r="E121" s="2">
        <v>12.5504</v>
      </c>
      <c r="F121" s="2" t="s">
        <v>135</v>
      </c>
      <c r="G121" s="2" t="s">
        <v>135</v>
      </c>
      <c r="H121" s="2" t="s">
        <v>135</v>
      </c>
      <c r="I121" s="2" t="s">
        <v>135</v>
      </c>
      <c r="J121" s="2">
        <v>22.200800000000001</v>
      </c>
      <c r="K121" s="5">
        <v>1</v>
      </c>
      <c r="L121" s="2" t="s">
        <v>590</v>
      </c>
    </row>
    <row r="122" spans="1:12" x14ac:dyDescent="0.3">
      <c r="A122" s="2" t="s">
        <v>524</v>
      </c>
      <c r="B122" s="2" t="str">
        <f t="shared" si="1"/>
        <v>CH4-291-U13-SHALLOW-BLANK</v>
      </c>
      <c r="C122" s="2">
        <v>13</v>
      </c>
      <c r="D122" s="2" t="s">
        <v>135</v>
      </c>
      <c r="E122" s="2" t="s">
        <v>135</v>
      </c>
      <c r="F122" s="2" t="s">
        <v>135</v>
      </c>
      <c r="G122" s="2" t="s">
        <v>135</v>
      </c>
      <c r="H122" s="2" t="s">
        <v>135</v>
      </c>
      <c r="I122" s="2" t="s">
        <v>135</v>
      </c>
      <c r="J122" s="2" t="s">
        <v>135</v>
      </c>
      <c r="K122" s="5">
        <v>1</v>
      </c>
      <c r="L122" s="2" t="s">
        <v>586</v>
      </c>
    </row>
    <row r="123" spans="1:12" hidden="1" x14ac:dyDescent="0.3">
      <c r="A123" s="2" t="s">
        <v>519</v>
      </c>
      <c r="B123" s="2" t="str">
        <f t="shared" si="1"/>
        <v>CH4-291-U13-SHALLOW-DUP</v>
      </c>
      <c r="C123" s="2">
        <v>13</v>
      </c>
      <c r="D123" s="2">
        <v>9.1600000000000001E-2</v>
      </c>
      <c r="E123" s="2">
        <v>5.1449999999999996</v>
      </c>
      <c r="F123" s="2" t="s">
        <v>135</v>
      </c>
      <c r="G123" s="2" t="s">
        <v>135</v>
      </c>
      <c r="H123" s="2" t="s">
        <v>135</v>
      </c>
      <c r="I123" s="2" t="s">
        <v>135</v>
      </c>
      <c r="J123" s="2">
        <v>10.74</v>
      </c>
      <c r="K123" s="5">
        <v>1</v>
      </c>
      <c r="L123" s="2" t="s">
        <v>580</v>
      </c>
    </row>
    <row r="124" spans="1:12" hidden="1" x14ac:dyDescent="0.3">
      <c r="A124" s="2" t="s">
        <v>532</v>
      </c>
      <c r="B124" s="2" t="str">
        <f t="shared" si="1"/>
        <v>CH4-296-U17-DEEP</v>
      </c>
      <c r="C124" s="2">
        <v>17</v>
      </c>
      <c r="D124" s="2" t="s">
        <v>135</v>
      </c>
      <c r="E124" s="2">
        <v>20.480699999999999</v>
      </c>
      <c r="F124" s="2" t="s">
        <v>135</v>
      </c>
      <c r="G124" s="2" t="s">
        <v>135</v>
      </c>
      <c r="H124" s="2" t="s">
        <v>135</v>
      </c>
      <c r="I124" s="2" t="s">
        <v>135</v>
      </c>
      <c r="J124" s="2">
        <v>43.406300000000002</v>
      </c>
      <c r="K124" s="5">
        <v>1</v>
      </c>
      <c r="L124" s="2" t="s">
        <v>594</v>
      </c>
    </row>
    <row r="125" spans="1:12" hidden="1" x14ac:dyDescent="0.3">
      <c r="A125" s="2" t="s">
        <v>526</v>
      </c>
      <c r="B125" s="2" t="str">
        <f t="shared" si="1"/>
        <v>CH4-296-U17-SHALLOW</v>
      </c>
      <c r="C125" s="2">
        <v>17</v>
      </c>
      <c r="D125" s="2">
        <v>0.1623</v>
      </c>
      <c r="E125" s="2" t="s">
        <v>135</v>
      </c>
      <c r="F125" s="2" t="s">
        <v>135</v>
      </c>
      <c r="G125" s="2" t="s">
        <v>135</v>
      </c>
      <c r="H125" s="2" t="s">
        <v>135</v>
      </c>
      <c r="I125" s="2" t="s">
        <v>135</v>
      </c>
      <c r="J125" s="2" t="s">
        <v>135</v>
      </c>
      <c r="K125" s="5">
        <v>1</v>
      </c>
      <c r="L125" s="2" t="s">
        <v>588</v>
      </c>
    </row>
    <row r="126" spans="1:12" hidden="1" x14ac:dyDescent="0.3">
      <c r="A126" s="2" t="s">
        <v>542</v>
      </c>
      <c r="B126" s="2" t="str">
        <f>LEFT(A126,LEN(A126)-4)</f>
        <v>CH4-296-U17-SHALLOW</v>
      </c>
      <c r="C126" s="2">
        <v>17</v>
      </c>
      <c r="D126" s="2" t="s">
        <v>135</v>
      </c>
      <c r="E126" s="2">
        <v>155.82669999999999</v>
      </c>
      <c r="F126" s="2" t="s">
        <v>135</v>
      </c>
      <c r="G126" s="2" t="s">
        <v>135</v>
      </c>
      <c r="H126" s="2" t="s">
        <v>135</v>
      </c>
      <c r="I126" s="2" t="s">
        <v>135</v>
      </c>
      <c r="J126" s="2">
        <v>76.3797</v>
      </c>
      <c r="K126" s="5">
        <v>10</v>
      </c>
      <c r="L126" s="2" t="s">
        <v>613</v>
      </c>
    </row>
    <row r="127" spans="1:12" hidden="1" x14ac:dyDescent="0.3">
      <c r="A127" s="2" t="s">
        <v>523</v>
      </c>
      <c r="B127" s="2" t="str">
        <f t="shared" si="1"/>
        <v>CH4-297-U41-DEEP</v>
      </c>
      <c r="C127" s="2">
        <v>41</v>
      </c>
      <c r="D127" s="2">
        <v>2.0500000000000001E-2</v>
      </c>
      <c r="E127" s="2">
        <v>0.75939999999999996</v>
      </c>
      <c r="F127" s="2" t="s">
        <v>135</v>
      </c>
      <c r="G127" s="2" t="s">
        <v>135</v>
      </c>
      <c r="H127" s="2">
        <v>0.47020000000000001</v>
      </c>
      <c r="I127" s="2" t="s">
        <v>135</v>
      </c>
      <c r="J127" s="2">
        <v>1.6307</v>
      </c>
      <c r="K127" s="5">
        <v>1</v>
      </c>
      <c r="L127" s="2" t="s">
        <v>584</v>
      </c>
    </row>
    <row r="128" spans="1:12" hidden="1" x14ac:dyDescent="0.3">
      <c r="A128" s="2" t="s">
        <v>550</v>
      </c>
      <c r="B128" s="2" t="str">
        <f t="shared" si="1"/>
        <v>CH4-297-U41-SHALLOW</v>
      </c>
      <c r="C128" s="2">
        <v>41</v>
      </c>
      <c r="D128" s="2">
        <v>2.52E-2</v>
      </c>
      <c r="E128" s="2">
        <v>0.82689999999999997</v>
      </c>
      <c r="F128" s="2" t="s">
        <v>135</v>
      </c>
      <c r="G128" s="2" t="s">
        <v>135</v>
      </c>
      <c r="H128" s="2" t="s">
        <v>135</v>
      </c>
      <c r="I128" s="2" t="s">
        <v>135</v>
      </c>
      <c r="J128" s="2">
        <v>2.0737999999999999</v>
      </c>
      <c r="K128" s="5">
        <v>1</v>
      </c>
      <c r="L128" s="2" t="s">
        <v>578</v>
      </c>
    </row>
    <row r="129" spans="1:12" hidden="1" x14ac:dyDescent="0.3">
      <c r="A129" s="2" t="s">
        <v>153</v>
      </c>
      <c r="B129" s="2" t="str">
        <f t="shared" si="1"/>
        <v>CH4-298-U01-DEEP</v>
      </c>
      <c r="C129" s="2">
        <v>1</v>
      </c>
      <c r="D129" s="2">
        <v>0.26190000000000002</v>
      </c>
      <c r="E129" s="2">
        <v>5.9269999999999996</v>
      </c>
      <c r="F129" s="2" t="s">
        <v>135</v>
      </c>
      <c r="G129" s="2" t="s">
        <v>135</v>
      </c>
      <c r="H129" s="2" t="s">
        <v>135</v>
      </c>
      <c r="I129" s="2" t="s">
        <v>135</v>
      </c>
      <c r="J129" s="2">
        <v>5.3146000000000004</v>
      </c>
      <c r="K129" s="5">
        <v>1</v>
      </c>
      <c r="L129" s="2" t="s">
        <v>504</v>
      </c>
    </row>
    <row r="130" spans="1:12" hidden="1" x14ac:dyDescent="0.3">
      <c r="A130" s="2" t="s">
        <v>152</v>
      </c>
      <c r="B130" s="2" t="str">
        <f t="shared" si="1"/>
        <v>CH4-298-U01-SHALLOW</v>
      </c>
      <c r="C130" s="2">
        <v>1</v>
      </c>
      <c r="D130" s="2">
        <v>0.25169999999999998</v>
      </c>
      <c r="E130" s="2">
        <v>6.0075000000000003</v>
      </c>
      <c r="F130" s="2" t="s">
        <v>135</v>
      </c>
      <c r="G130" s="2" t="s">
        <v>135</v>
      </c>
      <c r="H130" s="2" t="s">
        <v>135</v>
      </c>
      <c r="I130" s="2" t="s">
        <v>135</v>
      </c>
      <c r="J130" s="2">
        <v>6.8045</v>
      </c>
      <c r="K130" s="5">
        <v>1</v>
      </c>
      <c r="L130" s="2" t="s">
        <v>503</v>
      </c>
    </row>
    <row r="131" spans="1:12" x14ac:dyDescent="0.3">
      <c r="A131" s="2" t="s">
        <v>155</v>
      </c>
      <c r="B131" s="2" t="str">
        <f t="shared" ref="B131:B147" si="2">LEFT(A131,LEN(A131)-0)</f>
        <v>CH4-298-U01-SHALLOW BLANK</v>
      </c>
      <c r="C131" s="2">
        <v>1</v>
      </c>
      <c r="D131" s="2" t="s">
        <v>135</v>
      </c>
      <c r="E131" s="2" t="s">
        <v>135</v>
      </c>
      <c r="F131" s="2" t="s">
        <v>135</v>
      </c>
      <c r="G131" s="2" t="s">
        <v>135</v>
      </c>
      <c r="H131" s="2" t="s">
        <v>135</v>
      </c>
      <c r="I131" s="2" t="s">
        <v>135</v>
      </c>
      <c r="J131" s="2" t="s">
        <v>135</v>
      </c>
      <c r="K131" s="5">
        <v>1</v>
      </c>
      <c r="L131" s="2" t="s">
        <v>507</v>
      </c>
    </row>
    <row r="132" spans="1:12" hidden="1" x14ac:dyDescent="0.3">
      <c r="A132" s="2" t="s">
        <v>154</v>
      </c>
      <c r="B132" s="2" t="str">
        <f t="shared" si="2"/>
        <v>CH4-298-U01-SHALLOW DUP</v>
      </c>
      <c r="C132" s="2">
        <v>1</v>
      </c>
      <c r="D132" s="2">
        <v>0.26590000000000003</v>
      </c>
      <c r="E132" s="2">
        <v>6.0083000000000002</v>
      </c>
      <c r="F132" s="2" t="s">
        <v>135</v>
      </c>
      <c r="G132" s="2" t="s">
        <v>135</v>
      </c>
      <c r="H132" s="2" t="s">
        <v>135</v>
      </c>
      <c r="I132" s="2" t="s">
        <v>135</v>
      </c>
      <c r="J132" s="2">
        <v>6.7253999999999996</v>
      </c>
      <c r="K132" s="5">
        <v>1</v>
      </c>
      <c r="L132" s="2" t="s">
        <v>506</v>
      </c>
    </row>
    <row r="133" spans="1:12" hidden="1" x14ac:dyDescent="0.3">
      <c r="A133" s="2" t="s">
        <v>151</v>
      </c>
      <c r="B133" s="2" t="str">
        <f t="shared" si="2"/>
        <v>CH4-316-U03-DEEP</v>
      </c>
      <c r="C133" s="2">
        <v>3</v>
      </c>
      <c r="D133" s="2">
        <v>1.5268999999999999</v>
      </c>
      <c r="E133" s="2" t="s">
        <v>135</v>
      </c>
      <c r="F133" s="2" t="s">
        <v>135</v>
      </c>
      <c r="G133" s="2" t="s">
        <v>135</v>
      </c>
      <c r="H133" s="2" t="s">
        <v>135</v>
      </c>
      <c r="I133" s="2" t="s">
        <v>135</v>
      </c>
      <c r="J133" s="2" t="s">
        <v>135</v>
      </c>
      <c r="K133" s="5">
        <v>1</v>
      </c>
      <c r="L133" s="2" t="s">
        <v>502</v>
      </c>
    </row>
    <row r="134" spans="1:12" hidden="1" x14ac:dyDescent="0.3">
      <c r="A134" s="2" t="s">
        <v>19</v>
      </c>
      <c r="B134" s="2" t="str">
        <f>LEFT(A134,LEN(A134)-4)</f>
        <v>CH4-316-U03-DEEP</v>
      </c>
      <c r="C134" s="2">
        <v>3</v>
      </c>
      <c r="D134" s="2" t="s">
        <v>135</v>
      </c>
      <c r="E134" s="2">
        <v>245.01089999999999</v>
      </c>
      <c r="F134" s="2" t="s">
        <v>135</v>
      </c>
      <c r="G134" s="2" t="s">
        <v>135</v>
      </c>
      <c r="H134" s="2" t="s">
        <v>135</v>
      </c>
      <c r="I134" s="2" t="s">
        <v>135</v>
      </c>
      <c r="J134" s="2">
        <v>565.38419999999996</v>
      </c>
      <c r="K134" s="5">
        <v>20</v>
      </c>
      <c r="L134" s="2" t="s">
        <v>219</v>
      </c>
    </row>
    <row r="135" spans="1:12" hidden="1" x14ac:dyDescent="0.3">
      <c r="A135" s="2" t="s">
        <v>150</v>
      </c>
      <c r="B135" s="2" t="str">
        <f t="shared" si="2"/>
        <v>CH4-316-U03-SHALLOW</v>
      </c>
      <c r="C135" s="2">
        <v>3</v>
      </c>
      <c r="D135" s="2">
        <v>1.4664999999999999</v>
      </c>
      <c r="E135" s="2" t="s">
        <v>135</v>
      </c>
      <c r="F135" s="2" t="s">
        <v>135</v>
      </c>
      <c r="G135" s="2" t="s">
        <v>135</v>
      </c>
      <c r="H135" s="2" t="s">
        <v>135</v>
      </c>
      <c r="I135" s="2" t="s">
        <v>135</v>
      </c>
      <c r="J135" s="2" t="s">
        <v>135</v>
      </c>
      <c r="K135" s="5">
        <v>1</v>
      </c>
      <c r="L135" s="2" t="s">
        <v>501</v>
      </c>
    </row>
    <row r="136" spans="1:12" hidden="1" x14ac:dyDescent="0.3">
      <c r="A136" s="2" t="s">
        <v>18</v>
      </c>
      <c r="B136" s="2" t="str">
        <f>LEFT(A136,LEN(A136)-4)</f>
        <v>CH4-316-U03-SHALLOW</v>
      </c>
      <c r="C136" s="2">
        <v>3</v>
      </c>
      <c r="D136" s="2" t="s">
        <v>135</v>
      </c>
      <c r="E136" s="2">
        <v>281.72949999999997</v>
      </c>
      <c r="F136" s="2" t="s">
        <v>135</v>
      </c>
      <c r="G136" s="2" t="s">
        <v>135</v>
      </c>
      <c r="H136" s="2" t="s">
        <v>135</v>
      </c>
      <c r="I136" s="2" t="s">
        <v>135</v>
      </c>
      <c r="J136" s="2">
        <v>643.9941</v>
      </c>
      <c r="K136" s="5">
        <v>20</v>
      </c>
      <c r="L136" s="2" t="s">
        <v>218</v>
      </c>
    </row>
    <row r="137" spans="1:12" hidden="1" x14ac:dyDescent="0.3">
      <c r="A137" s="2" t="s">
        <v>530</v>
      </c>
      <c r="B137" s="2" t="str">
        <f t="shared" si="2"/>
        <v>CH4-317-U18-DEEP</v>
      </c>
      <c r="C137" s="2">
        <v>18</v>
      </c>
      <c r="D137" s="2">
        <v>0.18709999999999999</v>
      </c>
      <c r="E137" s="2" t="s">
        <v>135</v>
      </c>
      <c r="F137" s="2" t="s">
        <v>135</v>
      </c>
      <c r="G137" s="2" t="s">
        <v>135</v>
      </c>
      <c r="H137" s="2" t="s">
        <v>135</v>
      </c>
      <c r="I137" s="2" t="s">
        <v>135</v>
      </c>
      <c r="J137" s="2">
        <v>9.8671000000000006</v>
      </c>
      <c r="K137" s="5">
        <v>1</v>
      </c>
      <c r="L137" s="2" t="s">
        <v>592</v>
      </c>
    </row>
    <row r="138" spans="1:12" hidden="1" x14ac:dyDescent="0.3">
      <c r="A138" s="2" t="s">
        <v>543</v>
      </c>
      <c r="B138" s="2" t="str">
        <f>LEFT(A138,LEN(A138)-3)</f>
        <v>CH4-317-U18-DEEP</v>
      </c>
      <c r="C138" s="2">
        <v>18</v>
      </c>
      <c r="D138" s="2" t="s">
        <v>135</v>
      </c>
      <c r="E138" s="2" t="s">
        <v>135</v>
      </c>
      <c r="F138" s="2" t="s">
        <v>135</v>
      </c>
      <c r="G138" s="2" t="s">
        <v>135</v>
      </c>
      <c r="H138" s="2" t="s">
        <v>135</v>
      </c>
      <c r="I138" s="2" t="s">
        <v>135</v>
      </c>
      <c r="J138" s="2" t="s">
        <v>135</v>
      </c>
      <c r="K138" s="5">
        <v>2</v>
      </c>
      <c r="L138" s="2" t="s">
        <v>614</v>
      </c>
    </row>
    <row r="139" spans="1:12" hidden="1" x14ac:dyDescent="0.3">
      <c r="A139" s="2" t="s">
        <v>558</v>
      </c>
      <c r="B139" s="2" t="str">
        <f>LEFT(A139,LEN(A139)-3)</f>
        <v>CH4-317-U18-DEEP</v>
      </c>
      <c r="C139" s="2">
        <v>18</v>
      </c>
      <c r="D139" s="2" t="s">
        <v>135</v>
      </c>
      <c r="E139" s="2">
        <v>72.204300000000003</v>
      </c>
      <c r="F139" s="2" t="s">
        <v>135</v>
      </c>
      <c r="G139" s="2" t="s">
        <v>135</v>
      </c>
      <c r="H139" s="2" t="s">
        <v>135</v>
      </c>
      <c r="I139" s="2" t="s">
        <v>135</v>
      </c>
      <c r="J139" s="2" t="s">
        <v>135</v>
      </c>
      <c r="K139" s="5">
        <v>5</v>
      </c>
      <c r="L139" s="2" t="s">
        <v>629</v>
      </c>
    </row>
    <row r="140" spans="1:12" hidden="1" x14ac:dyDescent="0.3">
      <c r="A140" s="2" t="s">
        <v>516</v>
      </c>
      <c r="B140" s="2" t="str">
        <f t="shared" si="2"/>
        <v>CH4-317-U18-SHALLOW</v>
      </c>
      <c r="C140" s="2">
        <v>18</v>
      </c>
      <c r="D140" s="2">
        <v>0.2094</v>
      </c>
      <c r="E140" s="2" t="s">
        <v>135</v>
      </c>
      <c r="F140" s="2" t="s">
        <v>135</v>
      </c>
      <c r="G140" s="2" t="s">
        <v>135</v>
      </c>
      <c r="H140" s="2" t="s">
        <v>135</v>
      </c>
      <c r="I140" s="2" t="s">
        <v>135</v>
      </c>
      <c r="J140" s="2">
        <v>11.7462</v>
      </c>
      <c r="K140" s="5">
        <v>1</v>
      </c>
      <c r="L140" s="2" t="s">
        <v>575</v>
      </c>
    </row>
    <row r="141" spans="1:12" hidden="1" x14ac:dyDescent="0.3">
      <c r="A141" s="2" t="s">
        <v>539</v>
      </c>
      <c r="B141" s="2" t="str">
        <f>LEFT(A141,LEN(A141)-3)</f>
        <v>CH4-317-U18-SHALLOW</v>
      </c>
      <c r="C141" s="2">
        <v>18</v>
      </c>
      <c r="D141" s="2" t="s">
        <v>135</v>
      </c>
      <c r="E141" s="2" t="s">
        <v>135</v>
      </c>
      <c r="F141" s="2" t="s">
        <v>135</v>
      </c>
      <c r="G141" s="2" t="s">
        <v>135</v>
      </c>
      <c r="H141" s="2" t="s">
        <v>135</v>
      </c>
      <c r="I141" s="2" t="s">
        <v>135</v>
      </c>
      <c r="J141" s="2" t="s">
        <v>135</v>
      </c>
      <c r="K141" s="5">
        <v>2</v>
      </c>
      <c r="L141" s="2" t="s">
        <v>607</v>
      </c>
    </row>
    <row r="142" spans="1:12" hidden="1" x14ac:dyDescent="0.3">
      <c r="A142" s="2" t="s">
        <v>555</v>
      </c>
      <c r="B142" s="2" t="str">
        <f>LEFT(A142,LEN(A142)-3)</f>
        <v>CH4-317-U18-SHALLOW</v>
      </c>
      <c r="C142" s="2">
        <v>18</v>
      </c>
      <c r="D142" s="2" t="s">
        <v>135</v>
      </c>
      <c r="E142" s="2">
        <v>79.386700000000005</v>
      </c>
      <c r="F142" s="2" t="s">
        <v>135</v>
      </c>
      <c r="G142" s="2" t="s">
        <v>135</v>
      </c>
      <c r="H142" s="2" t="s">
        <v>135</v>
      </c>
      <c r="I142" s="2" t="s">
        <v>135</v>
      </c>
      <c r="J142" s="2" t="s">
        <v>135</v>
      </c>
      <c r="K142" s="5">
        <v>5</v>
      </c>
      <c r="L142" s="2" t="s">
        <v>626</v>
      </c>
    </row>
    <row r="143" spans="1:12" hidden="1" x14ac:dyDescent="0.3">
      <c r="A143" s="2" t="s">
        <v>157</v>
      </c>
      <c r="B143" s="2" t="str">
        <f t="shared" si="2"/>
        <v>CH4-326-U05-DEEP</v>
      </c>
      <c r="C143" s="2">
        <v>5</v>
      </c>
      <c r="D143" s="2">
        <v>0.13469999999999999</v>
      </c>
      <c r="E143" s="2">
        <v>17.8385</v>
      </c>
      <c r="F143" s="2" t="s">
        <v>135</v>
      </c>
      <c r="G143" s="2" t="s">
        <v>135</v>
      </c>
      <c r="H143" s="2" t="s">
        <v>135</v>
      </c>
      <c r="I143" s="2" t="s">
        <v>135</v>
      </c>
      <c r="J143" s="2">
        <v>18.1341</v>
      </c>
      <c r="K143" s="5">
        <v>1</v>
      </c>
      <c r="L143" s="2" t="s">
        <v>509</v>
      </c>
    </row>
    <row r="144" spans="1:12" hidden="1" x14ac:dyDescent="0.3">
      <c r="A144" s="2" t="s">
        <v>156</v>
      </c>
      <c r="B144" s="2" t="str">
        <f t="shared" si="2"/>
        <v>CH4-326-U05-SHALLOW</v>
      </c>
      <c r="C144" s="2">
        <v>5</v>
      </c>
      <c r="D144" s="2">
        <v>0.13600000000000001</v>
      </c>
      <c r="E144" s="2">
        <v>18.101400000000002</v>
      </c>
      <c r="F144" s="2" t="s">
        <v>135</v>
      </c>
      <c r="G144" s="2" t="s">
        <v>135</v>
      </c>
      <c r="H144" s="2" t="s">
        <v>135</v>
      </c>
      <c r="I144" s="2" t="s">
        <v>135</v>
      </c>
      <c r="J144" s="2">
        <v>18.426400000000001</v>
      </c>
      <c r="K144" s="5">
        <v>1</v>
      </c>
      <c r="L144" s="2" t="s">
        <v>508</v>
      </c>
    </row>
    <row r="145" spans="1:12" hidden="1" x14ac:dyDescent="0.3">
      <c r="A145" s="2" t="s">
        <v>159</v>
      </c>
      <c r="B145" s="2" t="str">
        <f t="shared" si="2"/>
        <v>CH4-327-U05-DEEP</v>
      </c>
      <c r="C145" s="2">
        <v>5</v>
      </c>
      <c r="D145" s="2">
        <v>1.4012</v>
      </c>
      <c r="E145" s="2">
        <v>20.959099999999999</v>
      </c>
      <c r="F145" s="2" t="s">
        <v>135</v>
      </c>
      <c r="G145" s="2" t="s">
        <v>135</v>
      </c>
      <c r="H145" s="2" t="s">
        <v>135</v>
      </c>
      <c r="I145" s="2" t="s">
        <v>135</v>
      </c>
      <c r="J145" s="2" t="s">
        <v>135</v>
      </c>
      <c r="K145" s="5">
        <v>1</v>
      </c>
      <c r="L145" s="2" t="s">
        <v>511</v>
      </c>
    </row>
    <row r="146" spans="1:12" hidden="1" x14ac:dyDescent="0.3">
      <c r="A146" s="2" t="s">
        <v>21</v>
      </c>
      <c r="B146" s="2" t="str">
        <f>LEFT(A146,LEN(A146)-3)</f>
        <v>CH4-327-U05-DEEP</v>
      </c>
      <c r="C146" s="2">
        <v>5</v>
      </c>
      <c r="D146" s="2" t="s">
        <v>135</v>
      </c>
      <c r="E146" s="2" t="s">
        <v>135</v>
      </c>
      <c r="F146" s="2" t="s">
        <v>135</v>
      </c>
      <c r="G146" s="2" t="s">
        <v>135</v>
      </c>
      <c r="H146" s="2" t="s">
        <v>135</v>
      </c>
      <c r="I146" s="2" t="s">
        <v>135</v>
      </c>
      <c r="J146" s="2">
        <v>58.151400000000002</v>
      </c>
      <c r="K146" s="5">
        <v>5</v>
      </c>
      <c r="L146" s="2" t="s">
        <v>221</v>
      </c>
    </row>
    <row r="147" spans="1:12" hidden="1" x14ac:dyDescent="0.3">
      <c r="A147" s="2" t="s">
        <v>158</v>
      </c>
      <c r="B147" s="2" t="str">
        <f t="shared" si="2"/>
        <v>CH4-327-U05-SHALLOW</v>
      </c>
      <c r="C147" s="2">
        <v>5</v>
      </c>
      <c r="D147" s="2">
        <v>1.3178000000000001</v>
      </c>
      <c r="E147" s="2">
        <v>21.758299999999998</v>
      </c>
      <c r="F147" s="2" t="s">
        <v>135</v>
      </c>
      <c r="G147" s="2" t="s">
        <v>135</v>
      </c>
      <c r="H147" s="2" t="s">
        <v>135</v>
      </c>
      <c r="I147" s="2" t="s">
        <v>135</v>
      </c>
      <c r="J147" s="2" t="s">
        <v>135</v>
      </c>
      <c r="K147" s="5">
        <v>1</v>
      </c>
      <c r="L147" s="2" t="s">
        <v>510</v>
      </c>
    </row>
    <row r="148" spans="1:12" hidden="1" x14ac:dyDescent="0.3">
      <c r="A148" s="2" t="s">
        <v>20</v>
      </c>
      <c r="B148" s="2" t="str">
        <f>LEFT(A148,LEN(A148)-3)</f>
        <v>CH4-327-U05-SHALLOW</v>
      </c>
      <c r="C148" s="2">
        <v>5</v>
      </c>
      <c r="D148" s="2" t="s">
        <v>135</v>
      </c>
      <c r="E148" s="2" t="s">
        <v>135</v>
      </c>
      <c r="F148" s="2" t="s">
        <v>135</v>
      </c>
      <c r="G148" s="2" t="s">
        <v>135</v>
      </c>
      <c r="H148" s="2" t="s">
        <v>135</v>
      </c>
      <c r="I148" s="2" t="s">
        <v>135</v>
      </c>
      <c r="J148" s="2">
        <v>48.773600000000002</v>
      </c>
      <c r="K148" s="5">
        <v>5</v>
      </c>
      <c r="L148" s="2" t="s">
        <v>220</v>
      </c>
    </row>
    <row r="149" spans="1:12" s="6" customFormat="1" hidden="1" x14ac:dyDescent="0.3">
      <c r="A149" s="7" t="s">
        <v>39</v>
      </c>
      <c r="B149" s="2" t="str">
        <f>LEFT(A149,LEN(A149)-0)</f>
        <v>CH4-078-U29-DEEP</v>
      </c>
      <c r="C149" s="7">
        <v>29</v>
      </c>
      <c r="D149" s="7">
        <v>0.20449999999999999</v>
      </c>
      <c r="E149" s="7">
        <v>36.651400000000002</v>
      </c>
      <c r="F149" s="7" t="s">
        <v>135</v>
      </c>
      <c r="G149" s="7">
        <v>0.16600000000000001</v>
      </c>
      <c r="H149" s="7" t="s">
        <v>135</v>
      </c>
      <c r="I149" s="7">
        <v>0.68479999999999996</v>
      </c>
      <c r="J149" s="7" t="s">
        <v>135</v>
      </c>
      <c r="K149" s="7">
        <v>1</v>
      </c>
      <c r="L149" s="7" t="s">
        <v>242</v>
      </c>
    </row>
    <row r="150" spans="1:12" s="6" customFormat="1" hidden="1" x14ac:dyDescent="0.3">
      <c r="A150" s="7" t="s">
        <v>75</v>
      </c>
      <c r="B150" s="2" t="str">
        <f>LEFT(A150,LEN(A150)-5)</f>
        <v>CH4-078-U29-DEEP</v>
      </c>
      <c r="C150" s="7">
        <v>29</v>
      </c>
      <c r="D150" s="7" t="s">
        <v>135</v>
      </c>
      <c r="E150" s="7">
        <v>36.757399999999997</v>
      </c>
      <c r="F150" s="7" t="s">
        <v>135</v>
      </c>
      <c r="G150" s="7" t="s">
        <v>135</v>
      </c>
      <c r="H150" s="7" t="s">
        <v>135</v>
      </c>
      <c r="I150" s="7" t="s">
        <v>135</v>
      </c>
      <c r="J150" s="7">
        <v>2098.0677000000001</v>
      </c>
      <c r="K150" s="7">
        <v>200</v>
      </c>
      <c r="L150" s="7" t="s">
        <v>295</v>
      </c>
    </row>
    <row r="151" spans="1:12" s="6" customFormat="1" hidden="1" x14ac:dyDescent="0.3">
      <c r="A151" s="7" t="s">
        <v>195</v>
      </c>
      <c r="B151" s="2" t="str">
        <f>LEFT(A151,LEN(A151)-4)</f>
        <v>CH4-078-U29-DEEP</v>
      </c>
      <c r="C151" s="7">
        <v>29</v>
      </c>
      <c r="D151" s="7" t="s">
        <v>135</v>
      </c>
      <c r="E151" s="7">
        <v>39.319299999999998</v>
      </c>
      <c r="F151" s="7" t="s">
        <v>135</v>
      </c>
      <c r="G151" s="7" t="s">
        <v>135</v>
      </c>
      <c r="H151" s="7" t="s">
        <v>135</v>
      </c>
      <c r="I151" s="7" t="s">
        <v>135</v>
      </c>
      <c r="J151" s="7">
        <v>2713.7636000000002</v>
      </c>
      <c r="K151" s="7">
        <v>50</v>
      </c>
      <c r="L151" s="7" t="s">
        <v>257</v>
      </c>
    </row>
    <row r="152" spans="1:12" s="6" customFormat="1" hidden="1" x14ac:dyDescent="0.3">
      <c r="A152" s="7" t="s">
        <v>38</v>
      </c>
      <c r="B152" s="2" t="str">
        <f>LEFT(A152,LEN(A152)-0)</f>
        <v>CH4-078-U29-SHALLOW</v>
      </c>
      <c r="C152" s="7">
        <v>29</v>
      </c>
      <c r="D152" s="7">
        <v>0.1938</v>
      </c>
      <c r="E152" s="7">
        <v>36.968800000000002</v>
      </c>
      <c r="F152" s="7" t="s">
        <v>135</v>
      </c>
      <c r="G152" s="7">
        <v>0.1638</v>
      </c>
      <c r="H152" s="7" t="s">
        <v>135</v>
      </c>
      <c r="I152" s="7">
        <v>0.40389999999999998</v>
      </c>
      <c r="J152" s="7" t="s">
        <v>135</v>
      </c>
      <c r="K152" s="7">
        <v>1</v>
      </c>
      <c r="L152" s="7" t="s">
        <v>241</v>
      </c>
    </row>
    <row r="153" spans="1:12" s="6" customFormat="1" hidden="1" x14ac:dyDescent="0.3">
      <c r="A153" s="7" t="s">
        <v>74</v>
      </c>
      <c r="B153" s="2" t="str">
        <f>LEFT(A153,LEN(A153)-5)</f>
        <v>CH4-078-U29-SHALLOW</v>
      </c>
      <c r="C153" s="7">
        <v>29</v>
      </c>
      <c r="D153" s="7" t="s">
        <v>135</v>
      </c>
      <c r="E153" s="7">
        <v>39.351999999999997</v>
      </c>
      <c r="F153" s="7" t="s">
        <v>135</v>
      </c>
      <c r="G153" s="7" t="s">
        <v>135</v>
      </c>
      <c r="H153" s="7" t="s">
        <v>135</v>
      </c>
      <c r="I153" s="7" t="s">
        <v>135</v>
      </c>
      <c r="J153" s="7">
        <v>2063.8989000000001</v>
      </c>
      <c r="K153" s="7">
        <v>200</v>
      </c>
      <c r="L153" s="7" t="s">
        <v>293</v>
      </c>
    </row>
  </sheetData>
  <autoFilter ref="A1:L153" xr:uid="{00000000-0001-0000-0300-000000000000}">
    <filterColumn colId="0">
      <filters>
        <filter val="CH4-067-04-BLANK"/>
        <filter val="CH4-067-U04-BLANK"/>
        <filter val="CH4-137-04-BLANK"/>
        <filter val="CH4-155-U25-SHALLOW-BLANK"/>
        <filter val="CH4-275-U12-SHALLOW-BLANK"/>
        <filter val="CH4-291-U13-SHALLOW-BLANK"/>
        <filter val="CH4-298-U01-SHALLOW BLANK"/>
      </filters>
    </filterColumn>
  </autoFilter>
  <pageMargins left="0.7" right="0.7" top="0.75" bottom="0.75" header="0.3" footer="0.3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4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9.44140625" bestFit="1" customWidth="1"/>
    <col min="2" max="2" width="6.5546875" bestFit="1" customWidth="1"/>
    <col min="3" max="3" width="7.44140625" bestFit="1" customWidth="1"/>
    <col min="4" max="4" width="28" bestFit="1" customWidth="1"/>
    <col min="5" max="5" width="9" bestFit="1" customWidth="1"/>
    <col min="6" max="6" width="10.21875" bestFit="1" customWidth="1"/>
  </cols>
  <sheetData>
    <row r="1" spans="1:6" x14ac:dyDescent="0.3">
      <c r="A1" t="s">
        <v>654</v>
      </c>
      <c r="B1" t="s">
        <v>643</v>
      </c>
      <c r="C1" t="s">
        <v>655</v>
      </c>
      <c r="D1" t="s">
        <v>656</v>
      </c>
      <c r="E1" t="s">
        <v>657</v>
      </c>
      <c r="F1" t="s">
        <v>658</v>
      </c>
    </row>
    <row r="2" spans="1:6" x14ac:dyDescent="0.3">
      <c r="A2" t="s">
        <v>94</v>
      </c>
      <c r="B2">
        <v>8</v>
      </c>
      <c r="C2">
        <v>1</v>
      </c>
      <c r="D2" t="s">
        <v>443</v>
      </c>
      <c r="E2" t="s">
        <v>659</v>
      </c>
      <c r="F2">
        <v>3.2099999999999997E-2</v>
      </c>
    </row>
    <row r="3" spans="1:6" x14ac:dyDescent="0.3">
      <c r="A3" t="s">
        <v>94</v>
      </c>
      <c r="B3">
        <v>8</v>
      </c>
      <c r="C3">
        <v>1</v>
      </c>
      <c r="D3" t="s">
        <v>317</v>
      </c>
      <c r="E3" t="s">
        <v>660</v>
      </c>
      <c r="F3">
        <v>4.3586</v>
      </c>
    </row>
    <row r="4" spans="1:6" x14ac:dyDescent="0.3">
      <c r="A4" t="s">
        <v>94</v>
      </c>
      <c r="B4">
        <v>8</v>
      </c>
      <c r="C4">
        <v>1</v>
      </c>
      <c r="D4" t="s">
        <v>317</v>
      </c>
      <c r="E4" t="s">
        <v>662</v>
      </c>
      <c r="F4">
        <v>0.28120000000000001</v>
      </c>
    </row>
    <row r="5" spans="1:6" x14ac:dyDescent="0.3">
      <c r="A5" t="s">
        <v>93</v>
      </c>
      <c r="B5">
        <v>8</v>
      </c>
      <c r="C5">
        <v>1</v>
      </c>
      <c r="D5" t="s">
        <v>316</v>
      </c>
      <c r="E5" t="s">
        <v>660</v>
      </c>
      <c r="F5">
        <v>4.3300999999999998</v>
      </c>
    </row>
    <row r="6" spans="1:6" x14ac:dyDescent="0.3">
      <c r="A6" t="s">
        <v>93</v>
      </c>
      <c r="B6">
        <v>8</v>
      </c>
      <c r="C6">
        <v>1</v>
      </c>
      <c r="D6" t="s">
        <v>316</v>
      </c>
      <c r="E6" t="s">
        <v>659</v>
      </c>
      <c r="F6">
        <v>4.4699999999999997E-2</v>
      </c>
    </row>
    <row r="7" spans="1:6" x14ac:dyDescent="0.3">
      <c r="A7" t="s">
        <v>93</v>
      </c>
      <c r="B7">
        <v>8</v>
      </c>
      <c r="C7">
        <v>1</v>
      </c>
      <c r="D7" t="s">
        <v>316</v>
      </c>
      <c r="E7" t="s">
        <v>662</v>
      </c>
      <c r="F7">
        <v>0.53190000000000004</v>
      </c>
    </row>
    <row r="8" spans="1:6" x14ac:dyDescent="0.3">
      <c r="A8" t="s">
        <v>88</v>
      </c>
      <c r="B8">
        <v>4</v>
      </c>
      <c r="C8">
        <v>1</v>
      </c>
      <c r="D8" t="s">
        <v>311</v>
      </c>
      <c r="E8" t="s">
        <v>659</v>
      </c>
      <c r="F8" t="s">
        <v>135</v>
      </c>
    </row>
    <row r="9" spans="1:6" x14ac:dyDescent="0.3">
      <c r="A9" t="s">
        <v>538</v>
      </c>
      <c r="B9">
        <v>4</v>
      </c>
      <c r="C9">
        <v>20</v>
      </c>
      <c r="D9" t="s">
        <v>620</v>
      </c>
      <c r="E9" t="s">
        <v>660</v>
      </c>
      <c r="F9">
        <v>33.411299999999997</v>
      </c>
    </row>
    <row r="10" spans="1:6" x14ac:dyDescent="0.3">
      <c r="A10" t="s">
        <v>538</v>
      </c>
      <c r="B10">
        <v>4</v>
      </c>
      <c r="C10">
        <v>1</v>
      </c>
      <c r="D10" t="s">
        <v>604</v>
      </c>
      <c r="E10" t="s">
        <v>659</v>
      </c>
      <c r="F10">
        <v>0.82310000000000005</v>
      </c>
    </row>
    <row r="11" spans="1:6" x14ac:dyDescent="0.3">
      <c r="A11" t="s">
        <v>538</v>
      </c>
      <c r="B11">
        <v>4</v>
      </c>
      <c r="C11">
        <v>100</v>
      </c>
      <c r="D11" t="s">
        <v>633</v>
      </c>
      <c r="E11" t="s">
        <v>662</v>
      </c>
      <c r="F11">
        <v>1092.2411999999999</v>
      </c>
    </row>
    <row r="12" spans="1:6" x14ac:dyDescent="0.3">
      <c r="A12" t="s">
        <v>551</v>
      </c>
      <c r="B12">
        <v>4</v>
      </c>
      <c r="C12">
        <v>20</v>
      </c>
      <c r="D12" t="s">
        <v>619</v>
      </c>
      <c r="E12" t="s">
        <v>660</v>
      </c>
      <c r="F12">
        <v>39.077500000000001</v>
      </c>
    </row>
    <row r="13" spans="1:6" x14ac:dyDescent="0.3">
      <c r="A13" t="s">
        <v>551</v>
      </c>
      <c r="B13">
        <v>4</v>
      </c>
      <c r="C13">
        <v>1</v>
      </c>
      <c r="D13" t="s">
        <v>603</v>
      </c>
      <c r="E13" t="s">
        <v>659</v>
      </c>
      <c r="F13">
        <v>0.81510000000000005</v>
      </c>
    </row>
    <row r="14" spans="1:6" x14ac:dyDescent="0.3">
      <c r="A14" t="s">
        <v>551</v>
      </c>
      <c r="B14">
        <v>4</v>
      </c>
      <c r="C14">
        <v>100</v>
      </c>
      <c r="D14" t="s">
        <v>632</v>
      </c>
      <c r="E14" t="s">
        <v>662</v>
      </c>
      <c r="F14">
        <v>1156.5084999999999</v>
      </c>
    </row>
    <row r="15" spans="1:6" x14ac:dyDescent="0.3">
      <c r="A15" t="s">
        <v>552</v>
      </c>
      <c r="B15">
        <v>4</v>
      </c>
      <c r="C15">
        <v>20</v>
      </c>
      <c r="D15" t="s">
        <v>621</v>
      </c>
      <c r="E15" t="s">
        <v>660</v>
      </c>
      <c r="F15">
        <v>39.9574</v>
      </c>
    </row>
    <row r="16" spans="1:6" x14ac:dyDescent="0.3">
      <c r="A16" t="s">
        <v>552</v>
      </c>
      <c r="B16">
        <v>4</v>
      </c>
      <c r="C16">
        <v>1</v>
      </c>
      <c r="D16" t="s">
        <v>605</v>
      </c>
      <c r="E16" t="s">
        <v>659</v>
      </c>
      <c r="F16">
        <v>0.80230000000000001</v>
      </c>
    </row>
    <row r="17" spans="1:6" x14ac:dyDescent="0.3">
      <c r="A17" t="s">
        <v>552</v>
      </c>
      <c r="B17">
        <v>4</v>
      </c>
      <c r="C17">
        <v>100</v>
      </c>
      <c r="D17" t="s">
        <v>634</v>
      </c>
      <c r="E17" t="s">
        <v>662</v>
      </c>
      <c r="F17">
        <v>1078.1950999999999</v>
      </c>
    </row>
    <row r="18" spans="1:6" x14ac:dyDescent="0.3">
      <c r="A18" t="s">
        <v>32</v>
      </c>
      <c r="B18">
        <v>4</v>
      </c>
      <c r="C18">
        <v>1</v>
      </c>
      <c r="D18" t="s">
        <v>232</v>
      </c>
      <c r="E18" t="s">
        <v>660</v>
      </c>
      <c r="F18">
        <v>20.8416</v>
      </c>
    </row>
    <row r="19" spans="1:6" x14ac:dyDescent="0.3">
      <c r="A19" t="s">
        <v>32</v>
      </c>
      <c r="B19">
        <v>4</v>
      </c>
      <c r="C19">
        <v>1</v>
      </c>
      <c r="D19" t="s">
        <v>232</v>
      </c>
      <c r="E19" t="s">
        <v>659</v>
      </c>
      <c r="F19">
        <v>0.27739999999999998</v>
      </c>
    </row>
    <row r="20" spans="1:6" x14ac:dyDescent="0.3">
      <c r="A20" t="s">
        <v>32</v>
      </c>
      <c r="B20">
        <v>4</v>
      </c>
      <c r="C20">
        <v>20</v>
      </c>
      <c r="D20" t="s">
        <v>292</v>
      </c>
      <c r="E20" t="s">
        <v>662</v>
      </c>
      <c r="F20">
        <v>630.4837</v>
      </c>
    </row>
    <row r="21" spans="1:6" x14ac:dyDescent="0.3">
      <c r="A21" t="s">
        <v>31</v>
      </c>
      <c r="B21">
        <v>4</v>
      </c>
      <c r="C21">
        <v>1</v>
      </c>
      <c r="D21" t="s">
        <v>231</v>
      </c>
      <c r="E21" t="s">
        <v>660</v>
      </c>
      <c r="F21">
        <v>21.133099999999999</v>
      </c>
    </row>
    <row r="22" spans="1:6" x14ac:dyDescent="0.3">
      <c r="A22" t="s">
        <v>31</v>
      </c>
      <c r="B22">
        <v>4</v>
      </c>
      <c r="C22">
        <v>1</v>
      </c>
      <c r="D22" t="s">
        <v>231</v>
      </c>
      <c r="E22" t="s">
        <v>659</v>
      </c>
      <c r="F22">
        <v>0.26769999999999999</v>
      </c>
    </row>
    <row r="23" spans="1:6" x14ac:dyDescent="0.3">
      <c r="A23" t="s">
        <v>31</v>
      </c>
      <c r="B23">
        <v>4</v>
      </c>
      <c r="C23">
        <v>20</v>
      </c>
      <c r="D23" t="s">
        <v>291</v>
      </c>
      <c r="E23" t="s">
        <v>662</v>
      </c>
      <c r="F23">
        <v>663.59119999999996</v>
      </c>
    </row>
    <row r="24" spans="1:6" x14ac:dyDescent="0.3">
      <c r="A24" t="s">
        <v>37</v>
      </c>
      <c r="B24">
        <v>4</v>
      </c>
      <c r="C24">
        <v>1</v>
      </c>
      <c r="D24" t="s">
        <v>240</v>
      </c>
      <c r="E24" t="s">
        <v>660</v>
      </c>
      <c r="F24">
        <v>10.154500000000001</v>
      </c>
    </row>
    <row r="25" spans="1:6" x14ac:dyDescent="0.3">
      <c r="A25" t="s">
        <v>37</v>
      </c>
      <c r="B25">
        <v>4</v>
      </c>
      <c r="C25">
        <v>1</v>
      </c>
      <c r="D25" t="s">
        <v>240</v>
      </c>
      <c r="E25" t="s">
        <v>659</v>
      </c>
      <c r="F25">
        <v>0.38169999999999998</v>
      </c>
    </row>
    <row r="26" spans="1:6" x14ac:dyDescent="0.3">
      <c r="A26" t="s">
        <v>37</v>
      </c>
      <c r="B26">
        <v>4</v>
      </c>
      <c r="C26">
        <v>1</v>
      </c>
      <c r="D26" t="s">
        <v>240</v>
      </c>
      <c r="E26" t="s">
        <v>662</v>
      </c>
      <c r="F26">
        <v>18.596499999999999</v>
      </c>
    </row>
    <row r="27" spans="1:6" x14ac:dyDescent="0.3">
      <c r="A27" t="s">
        <v>47</v>
      </c>
      <c r="B27">
        <v>12</v>
      </c>
      <c r="C27">
        <v>1</v>
      </c>
      <c r="D27" t="s">
        <v>251</v>
      </c>
      <c r="E27" t="s">
        <v>660</v>
      </c>
      <c r="F27">
        <v>9.1532999999999998</v>
      </c>
    </row>
    <row r="28" spans="1:6" x14ac:dyDescent="0.3">
      <c r="A28" t="s">
        <v>47</v>
      </c>
      <c r="B28">
        <v>12</v>
      </c>
      <c r="C28">
        <v>1</v>
      </c>
      <c r="D28" t="s">
        <v>251</v>
      </c>
      <c r="E28" t="s">
        <v>659</v>
      </c>
      <c r="F28">
        <v>0.35399999999999998</v>
      </c>
    </row>
    <row r="29" spans="1:6" x14ac:dyDescent="0.3">
      <c r="A29" t="s">
        <v>47</v>
      </c>
      <c r="B29">
        <v>12</v>
      </c>
      <c r="C29">
        <v>1</v>
      </c>
      <c r="D29" t="s">
        <v>251</v>
      </c>
      <c r="E29" t="s">
        <v>662</v>
      </c>
      <c r="F29">
        <v>38.712299999999999</v>
      </c>
    </row>
    <row r="30" spans="1:6" x14ac:dyDescent="0.3">
      <c r="A30" t="s">
        <v>46</v>
      </c>
      <c r="B30">
        <v>12</v>
      </c>
      <c r="C30">
        <v>1</v>
      </c>
      <c r="D30" t="s">
        <v>250</v>
      </c>
      <c r="E30" t="s">
        <v>660</v>
      </c>
      <c r="F30">
        <v>9.8872999999999998</v>
      </c>
    </row>
    <row r="31" spans="1:6" x14ac:dyDescent="0.3">
      <c r="A31" t="s">
        <v>46</v>
      </c>
      <c r="B31">
        <v>12</v>
      </c>
      <c r="C31">
        <v>1</v>
      </c>
      <c r="D31" t="s">
        <v>250</v>
      </c>
      <c r="E31" t="s">
        <v>659</v>
      </c>
      <c r="F31">
        <v>0.2999</v>
      </c>
    </row>
    <row r="32" spans="1:6" x14ac:dyDescent="0.3">
      <c r="A32" t="s">
        <v>46</v>
      </c>
      <c r="B32">
        <v>12</v>
      </c>
      <c r="C32">
        <v>1</v>
      </c>
      <c r="D32" t="s">
        <v>250</v>
      </c>
      <c r="E32" t="s">
        <v>662</v>
      </c>
      <c r="F32">
        <v>32.371400000000001</v>
      </c>
    </row>
    <row r="33" spans="1:6" x14ac:dyDescent="0.3">
      <c r="A33" t="s">
        <v>34</v>
      </c>
      <c r="B33">
        <v>7</v>
      </c>
      <c r="C33">
        <v>1</v>
      </c>
      <c r="D33" t="s">
        <v>237</v>
      </c>
      <c r="E33" t="s">
        <v>660</v>
      </c>
      <c r="F33">
        <v>9.7456999999999994</v>
      </c>
    </row>
    <row r="34" spans="1:6" x14ac:dyDescent="0.3">
      <c r="A34" t="s">
        <v>34</v>
      </c>
      <c r="B34">
        <v>7</v>
      </c>
      <c r="C34">
        <v>1</v>
      </c>
      <c r="D34" t="s">
        <v>237</v>
      </c>
      <c r="E34" t="s">
        <v>659</v>
      </c>
      <c r="F34">
        <v>0.40160000000000001</v>
      </c>
    </row>
    <row r="35" spans="1:6" x14ac:dyDescent="0.3">
      <c r="A35" t="s">
        <v>34</v>
      </c>
      <c r="B35">
        <v>7</v>
      </c>
      <c r="C35">
        <v>1</v>
      </c>
      <c r="D35" t="s">
        <v>237</v>
      </c>
      <c r="E35" t="s">
        <v>662</v>
      </c>
      <c r="F35">
        <v>36.47</v>
      </c>
    </row>
    <row r="36" spans="1:6" x14ac:dyDescent="0.3">
      <c r="A36" t="s">
        <v>33</v>
      </c>
      <c r="B36">
        <v>7</v>
      </c>
      <c r="C36">
        <v>1</v>
      </c>
      <c r="D36" t="s">
        <v>233</v>
      </c>
      <c r="E36" t="s">
        <v>660</v>
      </c>
      <c r="F36">
        <v>10.0075</v>
      </c>
    </row>
    <row r="37" spans="1:6" x14ac:dyDescent="0.3">
      <c r="A37" t="s">
        <v>33</v>
      </c>
      <c r="B37">
        <v>7</v>
      </c>
      <c r="C37">
        <v>1</v>
      </c>
      <c r="D37" t="s">
        <v>233</v>
      </c>
      <c r="E37" t="s">
        <v>659</v>
      </c>
      <c r="F37">
        <v>0.4098</v>
      </c>
    </row>
    <row r="38" spans="1:6" x14ac:dyDescent="0.3">
      <c r="A38" t="s">
        <v>33</v>
      </c>
      <c r="B38">
        <v>7</v>
      </c>
      <c r="C38">
        <v>1</v>
      </c>
      <c r="D38" t="s">
        <v>233</v>
      </c>
      <c r="E38" t="s">
        <v>662</v>
      </c>
      <c r="F38">
        <v>37.324599999999997</v>
      </c>
    </row>
    <row r="39" spans="1:6" x14ac:dyDescent="0.3">
      <c r="A39" t="s">
        <v>28</v>
      </c>
      <c r="B39">
        <v>6</v>
      </c>
      <c r="C39">
        <v>1</v>
      </c>
      <c r="D39" t="s">
        <v>228</v>
      </c>
      <c r="E39" t="s">
        <v>660</v>
      </c>
      <c r="F39">
        <v>0.31630000000000003</v>
      </c>
    </row>
    <row r="40" spans="1:6" x14ac:dyDescent="0.3">
      <c r="A40" t="s">
        <v>28</v>
      </c>
      <c r="B40">
        <v>6</v>
      </c>
      <c r="C40">
        <v>1</v>
      </c>
      <c r="D40" t="s">
        <v>228</v>
      </c>
      <c r="E40" t="s">
        <v>662</v>
      </c>
      <c r="F40">
        <v>0.2482</v>
      </c>
    </row>
    <row r="41" spans="1:6" x14ac:dyDescent="0.3">
      <c r="A41" t="s">
        <v>26</v>
      </c>
      <c r="B41">
        <v>6</v>
      </c>
      <c r="C41">
        <v>1</v>
      </c>
      <c r="D41" t="s">
        <v>225</v>
      </c>
      <c r="E41" t="s">
        <v>660</v>
      </c>
      <c r="F41">
        <v>12.0273</v>
      </c>
    </row>
    <row r="42" spans="1:6" x14ac:dyDescent="0.3">
      <c r="A42" t="s">
        <v>26</v>
      </c>
      <c r="B42">
        <v>6</v>
      </c>
      <c r="C42">
        <v>1</v>
      </c>
      <c r="D42" t="s">
        <v>225</v>
      </c>
      <c r="E42" t="s">
        <v>659</v>
      </c>
      <c r="F42">
        <v>0.3468</v>
      </c>
    </row>
    <row r="43" spans="1:6" x14ac:dyDescent="0.3">
      <c r="A43" t="s">
        <v>26</v>
      </c>
      <c r="B43">
        <v>6</v>
      </c>
      <c r="C43">
        <v>10</v>
      </c>
      <c r="D43" t="s">
        <v>284</v>
      </c>
      <c r="E43" t="s">
        <v>662</v>
      </c>
      <c r="F43">
        <v>140.09649999999999</v>
      </c>
    </row>
    <row r="44" spans="1:6" x14ac:dyDescent="0.3">
      <c r="A44" t="s">
        <v>25</v>
      </c>
      <c r="B44">
        <v>6</v>
      </c>
      <c r="C44">
        <v>1</v>
      </c>
      <c r="D44" t="s">
        <v>226</v>
      </c>
      <c r="E44" t="s">
        <v>660</v>
      </c>
      <c r="F44">
        <v>12.307399999999999</v>
      </c>
    </row>
    <row r="45" spans="1:6" x14ac:dyDescent="0.3">
      <c r="A45" t="s">
        <v>25</v>
      </c>
      <c r="B45">
        <v>6</v>
      </c>
      <c r="C45">
        <v>1</v>
      </c>
      <c r="D45" t="s">
        <v>226</v>
      </c>
      <c r="E45" t="s">
        <v>659</v>
      </c>
      <c r="F45">
        <v>0.36409999999999998</v>
      </c>
    </row>
    <row r="46" spans="1:6" x14ac:dyDescent="0.3">
      <c r="A46" t="s">
        <v>25</v>
      </c>
      <c r="B46">
        <v>6</v>
      </c>
      <c r="C46">
        <v>10</v>
      </c>
      <c r="D46" t="s">
        <v>287</v>
      </c>
      <c r="E46" t="s">
        <v>662</v>
      </c>
      <c r="F46">
        <v>265.75810000000001</v>
      </c>
    </row>
    <row r="47" spans="1:6" x14ac:dyDescent="0.3">
      <c r="A47" t="s">
        <v>27</v>
      </c>
      <c r="B47">
        <v>6</v>
      </c>
      <c r="C47">
        <v>1</v>
      </c>
      <c r="D47" t="s">
        <v>227</v>
      </c>
      <c r="E47" t="s">
        <v>660</v>
      </c>
      <c r="F47">
        <v>5.5674000000000001</v>
      </c>
    </row>
    <row r="48" spans="1:6" x14ac:dyDescent="0.3">
      <c r="A48" t="s">
        <v>27</v>
      </c>
      <c r="B48">
        <v>6</v>
      </c>
      <c r="C48">
        <v>1</v>
      </c>
      <c r="D48" t="s">
        <v>227</v>
      </c>
      <c r="E48" t="s">
        <v>659</v>
      </c>
      <c r="F48">
        <v>0.27079999999999999</v>
      </c>
    </row>
    <row r="49" spans="1:6" x14ac:dyDescent="0.3">
      <c r="A49" t="s">
        <v>27</v>
      </c>
      <c r="B49">
        <v>6</v>
      </c>
      <c r="C49">
        <v>10</v>
      </c>
      <c r="D49" t="s">
        <v>288</v>
      </c>
      <c r="E49" t="s">
        <v>662</v>
      </c>
      <c r="F49">
        <v>259.88080000000002</v>
      </c>
    </row>
    <row r="50" spans="1:6" x14ac:dyDescent="0.3">
      <c r="A50" t="s">
        <v>30</v>
      </c>
      <c r="B50">
        <v>6</v>
      </c>
      <c r="C50">
        <v>1</v>
      </c>
      <c r="D50" t="s">
        <v>230</v>
      </c>
      <c r="E50" t="s">
        <v>660</v>
      </c>
      <c r="F50">
        <v>11.661899999999999</v>
      </c>
    </row>
    <row r="51" spans="1:6" x14ac:dyDescent="0.3">
      <c r="A51" t="s">
        <v>30</v>
      </c>
      <c r="B51">
        <v>6</v>
      </c>
      <c r="C51">
        <v>1</v>
      </c>
      <c r="D51" t="s">
        <v>230</v>
      </c>
      <c r="E51" t="s">
        <v>659</v>
      </c>
      <c r="F51">
        <v>0.36399999999999999</v>
      </c>
    </row>
    <row r="52" spans="1:6" x14ac:dyDescent="0.3">
      <c r="A52" t="s">
        <v>30</v>
      </c>
      <c r="B52">
        <v>6</v>
      </c>
      <c r="C52">
        <v>10</v>
      </c>
      <c r="D52" t="s">
        <v>290</v>
      </c>
      <c r="E52" t="s">
        <v>662</v>
      </c>
      <c r="F52">
        <v>247.42060000000001</v>
      </c>
    </row>
    <row r="53" spans="1:6" x14ac:dyDescent="0.3">
      <c r="A53" t="s">
        <v>29</v>
      </c>
      <c r="B53">
        <v>6</v>
      </c>
      <c r="C53">
        <v>1</v>
      </c>
      <c r="D53" t="s">
        <v>229</v>
      </c>
      <c r="E53" t="s">
        <v>660</v>
      </c>
      <c r="F53">
        <v>12.001200000000001</v>
      </c>
    </row>
    <row r="54" spans="1:6" x14ac:dyDescent="0.3">
      <c r="A54" t="s">
        <v>29</v>
      </c>
      <c r="B54">
        <v>6</v>
      </c>
      <c r="C54">
        <v>1</v>
      </c>
      <c r="D54" t="s">
        <v>229</v>
      </c>
      <c r="E54" t="s">
        <v>659</v>
      </c>
      <c r="F54">
        <v>0.33700000000000002</v>
      </c>
    </row>
    <row r="55" spans="1:6" x14ac:dyDescent="0.3">
      <c r="A55" t="s">
        <v>29</v>
      </c>
      <c r="B55">
        <v>6</v>
      </c>
      <c r="C55">
        <v>10</v>
      </c>
      <c r="D55" t="s">
        <v>289</v>
      </c>
      <c r="E55" t="s">
        <v>662</v>
      </c>
      <c r="F55">
        <v>255.24019999999999</v>
      </c>
    </row>
    <row r="56" spans="1:6" x14ac:dyDescent="0.3">
      <c r="A56" t="s">
        <v>644</v>
      </c>
      <c r="B56">
        <v>7</v>
      </c>
      <c r="C56">
        <v>1</v>
      </c>
      <c r="D56" t="s">
        <v>582</v>
      </c>
      <c r="E56" t="s">
        <v>660</v>
      </c>
      <c r="F56">
        <v>10.8231</v>
      </c>
    </row>
    <row r="57" spans="1:6" x14ac:dyDescent="0.3">
      <c r="A57" t="s">
        <v>644</v>
      </c>
      <c r="B57">
        <v>7</v>
      </c>
      <c r="C57">
        <v>1</v>
      </c>
      <c r="D57" t="s">
        <v>582</v>
      </c>
      <c r="E57" t="s">
        <v>659</v>
      </c>
      <c r="F57">
        <v>0.3226</v>
      </c>
    </row>
    <row r="58" spans="1:6" x14ac:dyDescent="0.3">
      <c r="A58" t="s">
        <v>644</v>
      </c>
      <c r="B58">
        <v>7</v>
      </c>
      <c r="C58">
        <v>5</v>
      </c>
      <c r="D58" t="s">
        <v>631</v>
      </c>
      <c r="E58" t="s">
        <v>662</v>
      </c>
      <c r="F58">
        <v>234.78020000000001</v>
      </c>
    </row>
    <row r="59" spans="1:6" x14ac:dyDescent="0.3">
      <c r="A59" t="s">
        <v>645</v>
      </c>
      <c r="B59">
        <v>7</v>
      </c>
      <c r="C59">
        <v>1</v>
      </c>
      <c r="D59" t="s">
        <v>587</v>
      </c>
      <c r="E59" t="s">
        <v>660</v>
      </c>
      <c r="F59">
        <v>10.8177</v>
      </c>
    </row>
    <row r="60" spans="1:6" x14ac:dyDescent="0.3">
      <c r="A60" t="s">
        <v>645</v>
      </c>
      <c r="B60">
        <v>7</v>
      </c>
      <c r="C60">
        <v>1</v>
      </c>
      <c r="D60" t="s">
        <v>587</v>
      </c>
      <c r="E60" t="s">
        <v>659</v>
      </c>
      <c r="F60">
        <v>0.33510000000000001</v>
      </c>
    </row>
    <row r="61" spans="1:6" x14ac:dyDescent="0.3">
      <c r="A61" t="s">
        <v>645</v>
      </c>
      <c r="B61">
        <v>7</v>
      </c>
      <c r="C61">
        <v>5</v>
      </c>
      <c r="D61" t="s">
        <v>630</v>
      </c>
      <c r="E61" t="s">
        <v>662</v>
      </c>
      <c r="F61">
        <v>226.8477</v>
      </c>
    </row>
    <row r="62" spans="1:6" x14ac:dyDescent="0.3">
      <c r="A62" t="s">
        <v>650</v>
      </c>
      <c r="B62">
        <v>2</v>
      </c>
      <c r="C62">
        <v>1</v>
      </c>
      <c r="D62" t="s">
        <v>593</v>
      </c>
      <c r="E62" t="s">
        <v>660</v>
      </c>
      <c r="F62">
        <v>3.7867999999999999</v>
      </c>
    </row>
    <row r="63" spans="1:6" x14ac:dyDescent="0.3">
      <c r="A63" t="s">
        <v>650</v>
      </c>
      <c r="B63">
        <v>2</v>
      </c>
      <c r="C63">
        <v>1</v>
      </c>
      <c r="D63" t="s">
        <v>593</v>
      </c>
      <c r="E63" t="s">
        <v>659</v>
      </c>
      <c r="F63">
        <v>0.23499999999999999</v>
      </c>
    </row>
    <row r="64" spans="1:6" x14ac:dyDescent="0.3">
      <c r="A64" t="s">
        <v>650</v>
      </c>
      <c r="B64">
        <v>2</v>
      </c>
      <c r="C64">
        <v>2</v>
      </c>
      <c r="D64" t="s">
        <v>615</v>
      </c>
      <c r="E64" t="s">
        <v>662</v>
      </c>
      <c r="F64">
        <v>100.9923</v>
      </c>
    </row>
    <row r="65" spans="1:6" x14ac:dyDescent="0.3">
      <c r="A65" t="s">
        <v>652</v>
      </c>
      <c r="B65">
        <v>2</v>
      </c>
      <c r="C65">
        <v>1</v>
      </c>
      <c r="D65" t="s">
        <v>595</v>
      </c>
      <c r="E65" t="s">
        <v>660</v>
      </c>
      <c r="F65">
        <v>1.7788999999999999</v>
      </c>
    </row>
    <row r="66" spans="1:6" x14ac:dyDescent="0.3">
      <c r="A66" t="s">
        <v>652</v>
      </c>
      <c r="B66">
        <v>2</v>
      </c>
      <c r="C66">
        <v>1</v>
      </c>
      <c r="D66" t="s">
        <v>595</v>
      </c>
      <c r="E66" t="s">
        <v>659</v>
      </c>
      <c r="F66">
        <v>0.21190000000000001</v>
      </c>
    </row>
    <row r="67" spans="1:6" x14ac:dyDescent="0.3">
      <c r="A67" t="s">
        <v>652</v>
      </c>
      <c r="B67">
        <v>2</v>
      </c>
      <c r="C67">
        <v>2</v>
      </c>
      <c r="D67" t="s">
        <v>616</v>
      </c>
      <c r="E67" t="s">
        <v>662</v>
      </c>
      <c r="F67">
        <v>100.73139999999999</v>
      </c>
    </row>
    <row r="68" spans="1:6" x14ac:dyDescent="0.3">
      <c r="A68" t="s">
        <v>537</v>
      </c>
      <c r="B68">
        <v>9</v>
      </c>
      <c r="C68">
        <v>5</v>
      </c>
      <c r="D68" t="s">
        <v>618</v>
      </c>
      <c r="E68" t="s">
        <v>662</v>
      </c>
      <c r="F68">
        <v>143.57749999999999</v>
      </c>
    </row>
    <row r="69" spans="1:6" x14ac:dyDescent="0.3">
      <c r="A69" t="s">
        <v>537</v>
      </c>
      <c r="B69">
        <v>9</v>
      </c>
      <c r="C69">
        <v>1</v>
      </c>
      <c r="D69" t="s">
        <v>602</v>
      </c>
      <c r="E69" t="s">
        <v>660</v>
      </c>
      <c r="F69">
        <v>9.7421000000000006</v>
      </c>
    </row>
    <row r="70" spans="1:6" x14ac:dyDescent="0.3">
      <c r="A70" t="s">
        <v>537</v>
      </c>
      <c r="B70">
        <v>9</v>
      </c>
      <c r="C70">
        <v>1</v>
      </c>
      <c r="D70" t="s">
        <v>602</v>
      </c>
      <c r="E70" t="s">
        <v>659</v>
      </c>
      <c r="F70">
        <v>0.15859999999999999</v>
      </c>
    </row>
    <row r="71" spans="1:6" x14ac:dyDescent="0.3">
      <c r="A71" t="s">
        <v>534</v>
      </c>
      <c r="B71">
        <v>9</v>
      </c>
      <c r="C71">
        <v>1</v>
      </c>
      <c r="D71" t="s">
        <v>599</v>
      </c>
      <c r="E71" t="s">
        <v>660</v>
      </c>
      <c r="F71">
        <v>12.6942</v>
      </c>
    </row>
    <row r="72" spans="1:6" x14ac:dyDescent="0.3">
      <c r="A72" t="s">
        <v>534</v>
      </c>
      <c r="B72">
        <v>9</v>
      </c>
      <c r="C72">
        <v>1</v>
      </c>
      <c r="D72" t="s">
        <v>599</v>
      </c>
      <c r="E72" t="s">
        <v>659</v>
      </c>
      <c r="F72">
        <v>0.1588</v>
      </c>
    </row>
    <row r="73" spans="1:6" x14ac:dyDescent="0.3">
      <c r="A73" t="s">
        <v>534</v>
      </c>
      <c r="B73">
        <v>9</v>
      </c>
      <c r="C73">
        <v>5</v>
      </c>
      <c r="D73" t="s">
        <v>617</v>
      </c>
      <c r="E73" t="s">
        <v>662</v>
      </c>
      <c r="F73">
        <v>156.32149999999999</v>
      </c>
    </row>
    <row r="74" spans="1:6" x14ac:dyDescent="0.3">
      <c r="A74" t="s">
        <v>522</v>
      </c>
      <c r="B74">
        <v>8</v>
      </c>
      <c r="C74">
        <v>50</v>
      </c>
      <c r="D74" t="s">
        <v>610</v>
      </c>
      <c r="E74" t="s">
        <v>660</v>
      </c>
      <c r="F74">
        <v>130.4075</v>
      </c>
    </row>
    <row r="75" spans="1:6" x14ac:dyDescent="0.3">
      <c r="A75" t="s">
        <v>522</v>
      </c>
      <c r="B75">
        <v>8</v>
      </c>
      <c r="C75">
        <v>50</v>
      </c>
      <c r="D75" t="s">
        <v>610</v>
      </c>
      <c r="E75" t="s">
        <v>662</v>
      </c>
      <c r="F75">
        <v>2450.2950999999998</v>
      </c>
    </row>
    <row r="76" spans="1:6" x14ac:dyDescent="0.3">
      <c r="A76" t="s">
        <v>520</v>
      </c>
      <c r="B76">
        <v>8</v>
      </c>
      <c r="C76">
        <v>50</v>
      </c>
      <c r="D76" t="s">
        <v>608</v>
      </c>
      <c r="E76" t="s">
        <v>660</v>
      </c>
      <c r="F76">
        <v>141.7338</v>
      </c>
    </row>
    <row r="77" spans="1:6" x14ac:dyDescent="0.3">
      <c r="A77" t="s">
        <v>520</v>
      </c>
      <c r="B77">
        <v>8</v>
      </c>
      <c r="C77">
        <v>200</v>
      </c>
      <c r="D77" t="s">
        <v>635</v>
      </c>
      <c r="E77" t="s">
        <v>662</v>
      </c>
      <c r="F77">
        <v>2289.3661999999999</v>
      </c>
    </row>
    <row r="78" spans="1:6" x14ac:dyDescent="0.3">
      <c r="A78" t="s">
        <v>39</v>
      </c>
      <c r="B78">
        <v>29</v>
      </c>
      <c r="C78">
        <v>1</v>
      </c>
      <c r="D78" t="s">
        <v>242</v>
      </c>
      <c r="E78" t="s">
        <v>661</v>
      </c>
      <c r="F78">
        <v>0.16600000000000001</v>
      </c>
    </row>
    <row r="79" spans="1:6" x14ac:dyDescent="0.3">
      <c r="A79" t="s">
        <v>39</v>
      </c>
      <c r="B79">
        <v>29</v>
      </c>
      <c r="C79">
        <v>1</v>
      </c>
      <c r="D79" t="s">
        <v>242</v>
      </c>
      <c r="E79" t="s">
        <v>660</v>
      </c>
      <c r="F79">
        <v>36.651400000000002</v>
      </c>
    </row>
    <row r="80" spans="1:6" x14ac:dyDescent="0.3">
      <c r="A80" t="s">
        <v>39</v>
      </c>
      <c r="B80">
        <v>29</v>
      </c>
      <c r="C80">
        <v>1</v>
      </c>
      <c r="D80" t="s">
        <v>242</v>
      </c>
      <c r="E80" t="s">
        <v>659</v>
      </c>
      <c r="F80">
        <v>0.20449999999999999</v>
      </c>
    </row>
    <row r="81" spans="1:6" x14ac:dyDescent="0.3">
      <c r="A81" t="s">
        <v>39</v>
      </c>
      <c r="B81">
        <v>29</v>
      </c>
      <c r="C81">
        <v>200</v>
      </c>
      <c r="D81" t="s">
        <v>295</v>
      </c>
      <c r="E81" t="s">
        <v>662</v>
      </c>
      <c r="F81">
        <v>2098.0677000000001</v>
      </c>
    </row>
    <row r="82" spans="1:6" x14ac:dyDescent="0.3">
      <c r="A82" t="s">
        <v>38</v>
      </c>
      <c r="B82">
        <v>29</v>
      </c>
      <c r="C82">
        <v>1</v>
      </c>
      <c r="D82" t="s">
        <v>241</v>
      </c>
      <c r="E82" t="s">
        <v>661</v>
      </c>
      <c r="F82">
        <v>0.1638</v>
      </c>
    </row>
    <row r="83" spans="1:6" x14ac:dyDescent="0.3">
      <c r="A83" t="s">
        <v>38</v>
      </c>
      <c r="B83">
        <v>29</v>
      </c>
      <c r="C83">
        <v>1</v>
      </c>
      <c r="D83" t="s">
        <v>241</v>
      </c>
      <c r="E83" t="s">
        <v>660</v>
      </c>
      <c r="F83">
        <v>36.968800000000002</v>
      </c>
    </row>
    <row r="84" spans="1:6" x14ac:dyDescent="0.3">
      <c r="A84" t="s">
        <v>38</v>
      </c>
      <c r="B84">
        <v>29</v>
      </c>
      <c r="C84">
        <v>1</v>
      </c>
      <c r="D84" t="s">
        <v>241</v>
      </c>
      <c r="E84" t="s">
        <v>659</v>
      </c>
      <c r="F84">
        <v>0.1938</v>
      </c>
    </row>
    <row r="85" spans="1:6" x14ac:dyDescent="0.3">
      <c r="A85" t="s">
        <v>38</v>
      </c>
      <c r="B85">
        <v>29</v>
      </c>
      <c r="C85">
        <v>200</v>
      </c>
      <c r="D85" t="s">
        <v>293</v>
      </c>
      <c r="E85" t="s">
        <v>662</v>
      </c>
      <c r="F85">
        <v>2063.8989000000001</v>
      </c>
    </row>
    <row r="86" spans="1:6" x14ac:dyDescent="0.3">
      <c r="A86" t="s">
        <v>529</v>
      </c>
      <c r="B86">
        <v>12</v>
      </c>
      <c r="C86">
        <v>1</v>
      </c>
      <c r="D86" t="s">
        <v>591</v>
      </c>
      <c r="E86" t="s">
        <v>660</v>
      </c>
      <c r="F86">
        <v>14.147</v>
      </c>
    </row>
    <row r="87" spans="1:6" x14ac:dyDescent="0.3">
      <c r="A87" t="s">
        <v>529</v>
      </c>
      <c r="B87">
        <v>12</v>
      </c>
      <c r="C87">
        <v>1</v>
      </c>
      <c r="D87" t="s">
        <v>591</v>
      </c>
      <c r="E87" t="s">
        <v>659</v>
      </c>
      <c r="F87">
        <v>0.69779999999999998</v>
      </c>
    </row>
    <row r="88" spans="1:6" x14ac:dyDescent="0.3">
      <c r="A88" t="s">
        <v>529</v>
      </c>
      <c r="B88">
        <v>12</v>
      </c>
      <c r="C88">
        <v>1</v>
      </c>
      <c r="D88" t="s">
        <v>591</v>
      </c>
      <c r="E88" t="s">
        <v>662</v>
      </c>
      <c r="F88">
        <v>40.304000000000002</v>
      </c>
    </row>
    <row r="89" spans="1:6" x14ac:dyDescent="0.3">
      <c r="A89" t="s">
        <v>518</v>
      </c>
      <c r="B89">
        <v>12</v>
      </c>
      <c r="C89">
        <v>1</v>
      </c>
      <c r="D89" t="s">
        <v>579</v>
      </c>
      <c r="E89" t="s">
        <v>660</v>
      </c>
      <c r="F89">
        <v>14.1424</v>
      </c>
    </row>
    <row r="90" spans="1:6" x14ac:dyDescent="0.3">
      <c r="A90" t="s">
        <v>518</v>
      </c>
      <c r="B90">
        <v>12</v>
      </c>
      <c r="C90">
        <v>1</v>
      </c>
      <c r="D90" t="s">
        <v>579</v>
      </c>
      <c r="E90" t="s">
        <v>659</v>
      </c>
      <c r="F90">
        <v>0.71560000000000001</v>
      </c>
    </row>
    <row r="91" spans="1:6" x14ac:dyDescent="0.3">
      <c r="A91" t="s">
        <v>518</v>
      </c>
      <c r="B91">
        <v>12</v>
      </c>
      <c r="C91">
        <v>1</v>
      </c>
      <c r="D91" t="s">
        <v>579</v>
      </c>
      <c r="E91" t="s">
        <v>662</v>
      </c>
      <c r="F91">
        <v>40.760599999999997</v>
      </c>
    </row>
    <row r="92" spans="1:6" x14ac:dyDescent="0.3">
      <c r="A92" t="s">
        <v>96</v>
      </c>
      <c r="B92">
        <v>11</v>
      </c>
      <c r="C92">
        <v>1</v>
      </c>
      <c r="D92" t="s">
        <v>320</v>
      </c>
      <c r="E92" t="s">
        <v>659</v>
      </c>
      <c r="F92">
        <v>3.6700000000000003E-2</v>
      </c>
    </row>
    <row r="93" spans="1:6" x14ac:dyDescent="0.3">
      <c r="A93" t="s">
        <v>96</v>
      </c>
      <c r="B93">
        <v>11</v>
      </c>
      <c r="C93">
        <v>1</v>
      </c>
      <c r="D93" t="s">
        <v>320</v>
      </c>
      <c r="E93" t="s">
        <v>662</v>
      </c>
      <c r="F93">
        <v>1.0306999999999999</v>
      </c>
    </row>
    <row r="94" spans="1:6" x14ac:dyDescent="0.3">
      <c r="A94" t="s">
        <v>96</v>
      </c>
      <c r="B94">
        <v>11</v>
      </c>
      <c r="C94">
        <v>5</v>
      </c>
      <c r="D94" t="s">
        <v>362</v>
      </c>
      <c r="E94" t="s">
        <v>660</v>
      </c>
      <c r="F94">
        <v>67.638400000000004</v>
      </c>
    </row>
    <row r="95" spans="1:6" x14ac:dyDescent="0.3">
      <c r="A95" t="s">
        <v>95</v>
      </c>
      <c r="B95">
        <v>11</v>
      </c>
      <c r="C95">
        <v>1</v>
      </c>
      <c r="D95" t="s">
        <v>319</v>
      </c>
      <c r="E95" t="s">
        <v>660</v>
      </c>
      <c r="F95">
        <v>22.1677</v>
      </c>
    </row>
    <row r="96" spans="1:6" x14ac:dyDescent="0.3">
      <c r="A96" t="s">
        <v>95</v>
      </c>
      <c r="B96">
        <v>11</v>
      </c>
      <c r="C96">
        <v>1</v>
      </c>
      <c r="D96" t="s">
        <v>319</v>
      </c>
      <c r="E96" t="s">
        <v>659</v>
      </c>
      <c r="F96">
        <v>5.8700000000000002E-2</v>
      </c>
    </row>
    <row r="97" spans="1:6" x14ac:dyDescent="0.3">
      <c r="A97" t="s">
        <v>95</v>
      </c>
      <c r="B97">
        <v>11</v>
      </c>
      <c r="C97">
        <v>1</v>
      </c>
      <c r="D97" t="s">
        <v>319</v>
      </c>
      <c r="E97" t="s">
        <v>662</v>
      </c>
      <c r="F97">
        <v>3.8555999999999999</v>
      </c>
    </row>
    <row r="98" spans="1:6" x14ac:dyDescent="0.3">
      <c r="A98" t="s">
        <v>98</v>
      </c>
      <c r="B98">
        <v>4</v>
      </c>
      <c r="C98">
        <v>1</v>
      </c>
      <c r="D98" t="s">
        <v>322</v>
      </c>
      <c r="E98" t="s">
        <v>660</v>
      </c>
      <c r="F98">
        <v>5.4085000000000001</v>
      </c>
    </row>
    <row r="99" spans="1:6" x14ac:dyDescent="0.3">
      <c r="A99" t="s">
        <v>98</v>
      </c>
      <c r="B99">
        <v>4</v>
      </c>
      <c r="C99">
        <v>1</v>
      </c>
      <c r="D99" t="s">
        <v>322</v>
      </c>
      <c r="E99" t="s">
        <v>659</v>
      </c>
      <c r="F99">
        <v>6.2300000000000001E-2</v>
      </c>
    </row>
    <row r="100" spans="1:6" x14ac:dyDescent="0.3">
      <c r="A100" t="s">
        <v>98</v>
      </c>
      <c r="B100">
        <v>4</v>
      </c>
      <c r="C100">
        <v>1</v>
      </c>
      <c r="D100" t="s">
        <v>322</v>
      </c>
      <c r="E100" t="s">
        <v>662</v>
      </c>
      <c r="F100">
        <v>0.12520000000000001</v>
      </c>
    </row>
    <row r="101" spans="1:6" x14ac:dyDescent="0.3">
      <c r="A101" t="s">
        <v>97</v>
      </c>
      <c r="B101">
        <v>4</v>
      </c>
      <c r="C101">
        <v>1</v>
      </c>
      <c r="D101" t="s">
        <v>321</v>
      </c>
      <c r="E101" t="s">
        <v>660</v>
      </c>
      <c r="F101">
        <v>4.8737000000000004</v>
      </c>
    </row>
    <row r="102" spans="1:6" x14ac:dyDescent="0.3">
      <c r="A102" t="s">
        <v>97</v>
      </c>
      <c r="B102">
        <v>4</v>
      </c>
      <c r="C102">
        <v>1</v>
      </c>
      <c r="D102" t="s">
        <v>321</v>
      </c>
      <c r="E102" t="s">
        <v>659</v>
      </c>
      <c r="F102">
        <v>7.4899999999999994E-2</v>
      </c>
    </row>
    <row r="103" spans="1:6" x14ac:dyDescent="0.3">
      <c r="A103" t="s">
        <v>97</v>
      </c>
      <c r="B103">
        <v>4</v>
      </c>
      <c r="C103">
        <v>1</v>
      </c>
      <c r="D103" t="s">
        <v>321</v>
      </c>
      <c r="E103" t="s">
        <v>662</v>
      </c>
      <c r="F103">
        <v>1.0876999999999999</v>
      </c>
    </row>
    <row r="104" spans="1:6" x14ac:dyDescent="0.3">
      <c r="A104" t="s">
        <v>201</v>
      </c>
      <c r="B104">
        <v>4</v>
      </c>
      <c r="C104">
        <v>1</v>
      </c>
      <c r="D104" t="s">
        <v>453</v>
      </c>
      <c r="E104" t="s">
        <v>659</v>
      </c>
      <c r="F104" t="s">
        <v>135</v>
      </c>
    </row>
    <row r="105" spans="1:6" x14ac:dyDescent="0.3">
      <c r="A105" t="s">
        <v>90</v>
      </c>
      <c r="B105">
        <v>4</v>
      </c>
      <c r="C105">
        <v>1</v>
      </c>
      <c r="D105" t="s">
        <v>313</v>
      </c>
      <c r="E105" t="s">
        <v>660</v>
      </c>
      <c r="F105">
        <v>1.3734999999999999</v>
      </c>
    </row>
    <row r="106" spans="1:6" x14ac:dyDescent="0.3">
      <c r="A106" t="s">
        <v>90</v>
      </c>
      <c r="B106">
        <v>4</v>
      </c>
      <c r="C106">
        <v>1</v>
      </c>
      <c r="D106" t="s">
        <v>313</v>
      </c>
      <c r="E106" t="s">
        <v>659</v>
      </c>
      <c r="F106">
        <v>3.4799999999999998E-2</v>
      </c>
    </row>
    <row r="107" spans="1:6" x14ac:dyDescent="0.3">
      <c r="A107" t="s">
        <v>90</v>
      </c>
      <c r="B107">
        <v>4</v>
      </c>
      <c r="C107">
        <v>1</v>
      </c>
      <c r="D107" t="s">
        <v>313</v>
      </c>
      <c r="E107" t="s">
        <v>662</v>
      </c>
      <c r="F107">
        <v>0.2651</v>
      </c>
    </row>
    <row r="108" spans="1:6" x14ac:dyDescent="0.3">
      <c r="A108" t="s">
        <v>89</v>
      </c>
      <c r="B108">
        <v>4</v>
      </c>
      <c r="C108">
        <v>1</v>
      </c>
      <c r="D108" t="s">
        <v>312</v>
      </c>
      <c r="E108" t="s">
        <v>660</v>
      </c>
      <c r="F108">
        <v>1.8635999999999999</v>
      </c>
    </row>
    <row r="109" spans="1:6" x14ac:dyDescent="0.3">
      <c r="A109" t="s">
        <v>89</v>
      </c>
      <c r="B109">
        <v>4</v>
      </c>
      <c r="C109">
        <v>1</v>
      </c>
      <c r="D109" t="s">
        <v>312</v>
      </c>
      <c r="E109" t="s">
        <v>659</v>
      </c>
      <c r="F109">
        <v>2.63E-2</v>
      </c>
    </row>
    <row r="110" spans="1:6" x14ac:dyDescent="0.3">
      <c r="A110" t="s">
        <v>89</v>
      </c>
      <c r="B110">
        <v>4</v>
      </c>
      <c r="C110">
        <v>1</v>
      </c>
      <c r="D110" t="s">
        <v>312</v>
      </c>
      <c r="E110" t="s">
        <v>662</v>
      </c>
      <c r="F110">
        <v>4.7889999999999997</v>
      </c>
    </row>
    <row r="111" spans="1:6" x14ac:dyDescent="0.3">
      <c r="A111" t="s">
        <v>91</v>
      </c>
      <c r="B111">
        <v>4</v>
      </c>
      <c r="C111">
        <v>1</v>
      </c>
      <c r="D111" t="s">
        <v>314</v>
      </c>
      <c r="E111" t="s">
        <v>660</v>
      </c>
      <c r="F111">
        <v>1.89</v>
      </c>
    </row>
    <row r="112" spans="1:6" x14ac:dyDescent="0.3">
      <c r="A112" t="s">
        <v>91</v>
      </c>
      <c r="B112">
        <v>4</v>
      </c>
      <c r="C112">
        <v>1</v>
      </c>
      <c r="D112" t="s">
        <v>314</v>
      </c>
      <c r="E112" t="s">
        <v>659</v>
      </c>
      <c r="F112">
        <v>3.0099999999999998E-2</v>
      </c>
    </row>
    <row r="113" spans="1:6" x14ac:dyDescent="0.3">
      <c r="A113" t="s">
        <v>91</v>
      </c>
      <c r="B113">
        <v>4</v>
      </c>
      <c r="C113">
        <v>1</v>
      </c>
      <c r="D113" t="s">
        <v>314</v>
      </c>
      <c r="E113" t="s">
        <v>662</v>
      </c>
      <c r="F113">
        <v>4.7430000000000003</v>
      </c>
    </row>
    <row r="114" spans="1:6" x14ac:dyDescent="0.3">
      <c r="A114" t="s">
        <v>79</v>
      </c>
      <c r="B114">
        <v>8</v>
      </c>
      <c r="C114">
        <v>1</v>
      </c>
      <c r="D114" t="s">
        <v>299</v>
      </c>
      <c r="E114" t="s">
        <v>660</v>
      </c>
      <c r="F114">
        <v>1.0476000000000001</v>
      </c>
    </row>
    <row r="115" spans="1:6" x14ac:dyDescent="0.3">
      <c r="A115" t="s">
        <v>79</v>
      </c>
      <c r="B115">
        <v>8</v>
      </c>
      <c r="C115">
        <v>1</v>
      </c>
      <c r="D115" t="s">
        <v>299</v>
      </c>
      <c r="E115" t="s">
        <v>659</v>
      </c>
      <c r="F115">
        <v>0.25729999999999997</v>
      </c>
    </row>
    <row r="116" spans="1:6" x14ac:dyDescent="0.3">
      <c r="A116" t="s">
        <v>79</v>
      </c>
      <c r="B116">
        <v>8</v>
      </c>
      <c r="C116">
        <v>1</v>
      </c>
      <c r="D116" t="s">
        <v>299</v>
      </c>
      <c r="E116" t="s">
        <v>662</v>
      </c>
      <c r="F116">
        <v>5.8045999999999998</v>
      </c>
    </row>
    <row r="117" spans="1:6" x14ac:dyDescent="0.3">
      <c r="A117" t="s">
        <v>78</v>
      </c>
      <c r="B117">
        <v>8</v>
      </c>
      <c r="C117">
        <v>1</v>
      </c>
      <c r="D117" t="s">
        <v>298</v>
      </c>
      <c r="E117" t="s">
        <v>660</v>
      </c>
      <c r="F117">
        <v>0.79049999999999998</v>
      </c>
    </row>
    <row r="118" spans="1:6" x14ac:dyDescent="0.3">
      <c r="A118" t="s">
        <v>78</v>
      </c>
      <c r="B118">
        <v>8</v>
      </c>
      <c r="C118">
        <v>1</v>
      </c>
      <c r="D118" t="s">
        <v>298</v>
      </c>
      <c r="E118" t="s">
        <v>659</v>
      </c>
      <c r="F118">
        <v>0.22439999999999999</v>
      </c>
    </row>
    <row r="119" spans="1:6" x14ac:dyDescent="0.3">
      <c r="A119" t="s">
        <v>78</v>
      </c>
      <c r="B119">
        <v>8</v>
      </c>
      <c r="C119">
        <v>1</v>
      </c>
      <c r="D119" t="s">
        <v>298</v>
      </c>
      <c r="E119" t="s">
        <v>662</v>
      </c>
      <c r="F119">
        <v>4.5189000000000004</v>
      </c>
    </row>
    <row r="120" spans="1:6" x14ac:dyDescent="0.3">
      <c r="A120" t="s">
        <v>43</v>
      </c>
      <c r="B120">
        <v>25</v>
      </c>
      <c r="C120">
        <v>1</v>
      </c>
      <c r="D120" t="s">
        <v>246</v>
      </c>
      <c r="E120" t="s">
        <v>660</v>
      </c>
      <c r="F120">
        <v>6.9835000000000003</v>
      </c>
    </row>
    <row r="121" spans="1:6" x14ac:dyDescent="0.3">
      <c r="A121" t="s">
        <v>43</v>
      </c>
      <c r="B121">
        <v>25</v>
      </c>
      <c r="C121">
        <v>1</v>
      </c>
      <c r="D121" t="s">
        <v>246</v>
      </c>
      <c r="E121" t="s">
        <v>659</v>
      </c>
      <c r="F121">
        <v>0.21129999999999999</v>
      </c>
    </row>
    <row r="122" spans="1:6" x14ac:dyDescent="0.3">
      <c r="A122" t="s">
        <v>43</v>
      </c>
      <c r="B122">
        <v>25</v>
      </c>
      <c r="C122">
        <v>5</v>
      </c>
      <c r="D122" t="s">
        <v>261</v>
      </c>
      <c r="E122" t="s">
        <v>662</v>
      </c>
      <c r="F122">
        <v>92.757800000000003</v>
      </c>
    </row>
    <row r="123" spans="1:6" x14ac:dyDescent="0.3">
      <c r="A123" t="s">
        <v>42</v>
      </c>
      <c r="B123">
        <v>25</v>
      </c>
      <c r="C123">
        <v>1</v>
      </c>
      <c r="D123" t="s">
        <v>245</v>
      </c>
      <c r="E123" t="s">
        <v>660</v>
      </c>
      <c r="F123">
        <v>9.0518000000000001</v>
      </c>
    </row>
    <row r="124" spans="1:6" x14ac:dyDescent="0.3">
      <c r="A124" t="s">
        <v>42</v>
      </c>
      <c r="B124">
        <v>25</v>
      </c>
      <c r="C124">
        <v>1</v>
      </c>
      <c r="D124" t="s">
        <v>245</v>
      </c>
      <c r="E124" t="s">
        <v>659</v>
      </c>
      <c r="F124">
        <v>0.25890000000000002</v>
      </c>
    </row>
    <row r="125" spans="1:6" x14ac:dyDescent="0.3">
      <c r="A125" t="s">
        <v>42</v>
      </c>
      <c r="B125">
        <v>25</v>
      </c>
      <c r="C125">
        <v>5</v>
      </c>
      <c r="D125" t="s">
        <v>260</v>
      </c>
      <c r="E125" t="s">
        <v>662</v>
      </c>
      <c r="F125">
        <v>127.2303</v>
      </c>
    </row>
    <row r="126" spans="1:6" x14ac:dyDescent="0.3">
      <c r="A126" t="s">
        <v>45</v>
      </c>
      <c r="B126">
        <v>25</v>
      </c>
      <c r="C126">
        <v>1</v>
      </c>
      <c r="D126" t="s">
        <v>249</v>
      </c>
      <c r="E126" t="s">
        <v>659</v>
      </c>
      <c r="F126" t="s">
        <v>135</v>
      </c>
    </row>
    <row r="127" spans="1:6" x14ac:dyDescent="0.3">
      <c r="A127" t="s">
        <v>44</v>
      </c>
      <c r="B127">
        <v>25</v>
      </c>
      <c r="C127">
        <v>1</v>
      </c>
      <c r="D127" t="s">
        <v>248</v>
      </c>
      <c r="E127" t="s">
        <v>660</v>
      </c>
      <c r="F127">
        <v>10.8972</v>
      </c>
    </row>
    <row r="128" spans="1:6" x14ac:dyDescent="0.3">
      <c r="A128" t="s">
        <v>44</v>
      </c>
      <c r="B128">
        <v>25</v>
      </c>
      <c r="C128">
        <v>1</v>
      </c>
      <c r="D128" t="s">
        <v>248</v>
      </c>
      <c r="E128" t="s">
        <v>659</v>
      </c>
      <c r="F128">
        <v>0.31059999999999999</v>
      </c>
    </row>
    <row r="129" spans="1:6" x14ac:dyDescent="0.3">
      <c r="A129" t="s">
        <v>44</v>
      </c>
      <c r="B129">
        <v>25</v>
      </c>
      <c r="C129">
        <v>5</v>
      </c>
      <c r="D129" t="s">
        <v>262</v>
      </c>
      <c r="E129" t="s">
        <v>662</v>
      </c>
      <c r="F129">
        <v>111.3214</v>
      </c>
    </row>
    <row r="130" spans="1:6" x14ac:dyDescent="0.3">
      <c r="A130" t="s">
        <v>161</v>
      </c>
      <c r="B130">
        <v>24</v>
      </c>
      <c r="C130">
        <v>20</v>
      </c>
      <c r="D130" t="s">
        <v>224</v>
      </c>
      <c r="E130" t="s">
        <v>660</v>
      </c>
      <c r="F130">
        <v>84.066699999999997</v>
      </c>
    </row>
    <row r="131" spans="1:6" x14ac:dyDescent="0.3">
      <c r="A131" t="s">
        <v>161</v>
      </c>
      <c r="B131">
        <v>24</v>
      </c>
      <c r="C131">
        <v>20</v>
      </c>
      <c r="D131" t="s">
        <v>224</v>
      </c>
      <c r="E131" t="s">
        <v>662</v>
      </c>
      <c r="F131">
        <v>537.88810000000001</v>
      </c>
    </row>
    <row r="132" spans="1:6" x14ac:dyDescent="0.3">
      <c r="A132" t="s">
        <v>161</v>
      </c>
      <c r="B132">
        <v>24</v>
      </c>
      <c r="C132">
        <v>1</v>
      </c>
      <c r="D132" t="s">
        <v>513</v>
      </c>
      <c r="E132" t="s">
        <v>659</v>
      </c>
      <c r="F132">
        <v>0.1739</v>
      </c>
    </row>
    <row r="133" spans="1:6" x14ac:dyDescent="0.3">
      <c r="A133" t="s">
        <v>160</v>
      </c>
      <c r="B133">
        <v>24</v>
      </c>
      <c r="C133">
        <v>20</v>
      </c>
      <c r="D133" t="s">
        <v>222</v>
      </c>
      <c r="E133" t="s">
        <v>660</v>
      </c>
      <c r="F133">
        <v>67.405600000000007</v>
      </c>
    </row>
    <row r="134" spans="1:6" x14ac:dyDescent="0.3">
      <c r="A134" t="s">
        <v>160</v>
      </c>
      <c r="B134">
        <v>24</v>
      </c>
      <c r="C134">
        <v>20</v>
      </c>
      <c r="D134" t="s">
        <v>222</v>
      </c>
      <c r="E134" t="s">
        <v>662</v>
      </c>
      <c r="F134">
        <v>390.88729999999998</v>
      </c>
    </row>
    <row r="135" spans="1:6" x14ac:dyDescent="0.3">
      <c r="A135" t="s">
        <v>160</v>
      </c>
      <c r="B135">
        <v>24</v>
      </c>
      <c r="C135">
        <v>1</v>
      </c>
      <c r="D135" t="s">
        <v>512</v>
      </c>
      <c r="E135" t="s">
        <v>659</v>
      </c>
      <c r="F135">
        <v>0.16470000000000001</v>
      </c>
    </row>
    <row r="136" spans="1:6" x14ac:dyDescent="0.3">
      <c r="A136" t="s">
        <v>41</v>
      </c>
      <c r="B136">
        <v>13</v>
      </c>
      <c r="C136">
        <v>1</v>
      </c>
      <c r="D136" t="s">
        <v>244</v>
      </c>
      <c r="E136" t="s">
        <v>661</v>
      </c>
      <c r="F136">
        <v>0.18659999999999999</v>
      </c>
    </row>
    <row r="137" spans="1:6" x14ac:dyDescent="0.3">
      <c r="A137" t="s">
        <v>41</v>
      </c>
      <c r="B137">
        <v>13</v>
      </c>
      <c r="C137">
        <v>1</v>
      </c>
      <c r="D137" t="s">
        <v>244</v>
      </c>
      <c r="E137" t="s">
        <v>660</v>
      </c>
      <c r="F137">
        <v>22.305299999999999</v>
      </c>
    </row>
    <row r="138" spans="1:6" x14ac:dyDescent="0.3">
      <c r="A138" t="s">
        <v>41</v>
      </c>
      <c r="B138">
        <v>13</v>
      </c>
      <c r="C138">
        <v>1</v>
      </c>
      <c r="D138" t="s">
        <v>244</v>
      </c>
      <c r="E138" t="s">
        <v>659</v>
      </c>
      <c r="F138">
        <v>0.19339999999999999</v>
      </c>
    </row>
    <row r="139" spans="1:6" x14ac:dyDescent="0.3">
      <c r="A139" t="s">
        <v>41</v>
      </c>
      <c r="B139">
        <v>13</v>
      </c>
      <c r="C139">
        <v>20</v>
      </c>
      <c r="D139" t="s">
        <v>259</v>
      </c>
      <c r="E139" t="s">
        <v>662</v>
      </c>
      <c r="F139">
        <v>555.80229999999995</v>
      </c>
    </row>
    <row r="140" spans="1:6" x14ac:dyDescent="0.3">
      <c r="A140" t="s">
        <v>40</v>
      </c>
      <c r="B140">
        <v>13</v>
      </c>
      <c r="C140">
        <v>1</v>
      </c>
      <c r="D140" t="s">
        <v>243</v>
      </c>
      <c r="E140" t="s">
        <v>661</v>
      </c>
      <c r="F140">
        <v>0.18410000000000001</v>
      </c>
    </row>
    <row r="141" spans="1:6" x14ac:dyDescent="0.3">
      <c r="A141" t="s">
        <v>40</v>
      </c>
      <c r="B141">
        <v>13</v>
      </c>
      <c r="C141">
        <v>1</v>
      </c>
      <c r="D141" t="s">
        <v>243</v>
      </c>
      <c r="E141" t="s">
        <v>660</v>
      </c>
      <c r="F141">
        <v>22.2927</v>
      </c>
    </row>
    <row r="142" spans="1:6" x14ac:dyDescent="0.3">
      <c r="A142" t="s">
        <v>40</v>
      </c>
      <c r="B142">
        <v>13</v>
      </c>
      <c r="C142">
        <v>1</v>
      </c>
      <c r="D142" t="s">
        <v>243</v>
      </c>
      <c r="E142" t="s">
        <v>659</v>
      </c>
      <c r="F142">
        <v>0.21609999999999999</v>
      </c>
    </row>
    <row r="143" spans="1:6" x14ac:dyDescent="0.3">
      <c r="A143" t="s">
        <v>40</v>
      </c>
      <c r="B143">
        <v>13</v>
      </c>
      <c r="C143">
        <v>20</v>
      </c>
      <c r="D143" t="s">
        <v>258</v>
      </c>
      <c r="E143" t="s">
        <v>662</v>
      </c>
      <c r="F143">
        <v>644.73329999999999</v>
      </c>
    </row>
    <row r="144" spans="1:6" x14ac:dyDescent="0.3">
      <c r="A144" t="s">
        <v>54</v>
      </c>
      <c r="B144">
        <v>18</v>
      </c>
      <c r="C144">
        <v>1</v>
      </c>
      <c r="D144" t="s">
        <v>264</v>
      </c>
      <c r="E144" t="s">
        <v>660</v>
      </c>
      <c r="F144">
        <v>8.7767999999999997</v>
      </c>
    </row>
    <row r="145" spans="1:6" x14ac:dyDescent="0.3">
      <c r="A145" t="s">
        <v>54</v>
      </c>
      <c r="B145">
        <v>18</v>
      </c>
      <c r="C145">
        <v>1</v>
      </c>
      <c r="D145" t="s">
        <v>264</v>
      </c>
      <c r="E145" t="s">
        <v>659</v>
      </c>
      <c r="F145">
        <v>6.1600000000000002E-2</v>
      </c>
    </row>
    <row r="146" spans="1:6" x14ac:dyDescent="0.3">
      <c r="A146" t="s">
        <v>54</v>
      </c>
      <c r="B146">
        <v>18</v>
      </c>
      <c r="C146">
        <v>1</v>
      </c>
      <c r="D146" t="s">
        <v>264</v>
      </c>
      <c r="E146" t="s">
        <v>662</v>
      </c>
      <c r="F146">
        <v>5.6550000000000002</v>
      </c>
    </row>
    <row r="147" spans="1:6" x14ac:dyDescent="0.3">
      <c r="A147" t="s">
        <v>53</v>
      </c>
      <c r="B147">
        <v>18</v>
      </c>
      <c r="C147">
        <v>1</v>
      </c>
      <c r="D147" t="s">
        <v>263</v>
      </c>
      <c r="E147" t="s">
        <v>660</v>
      </c>
      <c r="F147">
        <v>8.8521999999999998</v>
      </c>
    </row>
    <row r="148" spans="1:6" x14ac:dyDescent="0.3">
      <c r="A148" t="s">
        <v>53</v>
      </c>
      <c r="B148">
        <v>18</v>
      </c>
      <c r="C148">
        <v>1</v>
      </c>
      <c r="D148" t="s">
        <v>263</v>
      </c>
      <c r="E148" t="s">
        <v>659</v>
      </c>
      <c r="F148">
        <v>7.0599999999999996E-2</v>
      </c>
    </row>
    <row r="149" spans="1:6" x14ac:dyDescent="0.3">
      <c r="A149" t="s">
        <v>53</v>
      </c>
      <c r="B149">
        <v>18</v>
      </c>
      <c r="C149">
        <v>1</v>
      </c>
      <c r="D149" t="s">
        <v>263</v>
      </c>
      <c r="E149" t="s">
        <v>662</v>
      </c>
      <c r="F149">
        <v>5.8438999999999997</v>
      </c>
    </row>
    <row r="150" spans="1:6" x14ac:dyDescent="0.3">
      <c r="A150" t="s">
        <v>56</v>
      </c>
      <c r="B150">
        <v>18</v>
      </c>
      <c r="C150">
        <v>1</v>
      </c>
      <c r="D150" t="s">
        <v>266</v>
      </c>
      <c r="E150" t="s">
        <v>660</v>
      </c>
      <c r="F150">
        <v>0.34839999999999999</v>
      </c>
    </row>
    <row r="151" spans="1:6" x14ac:dyDescent="0.3">
      <c r="A151" t="s">
        <v>56</v>
      </c>
      <c r="B151">
        <v>18</v>
      </c>
      <c r="C151">
        <v>1</v>
      </c>
      <c r="D151" t="s">
        <v>266</v>
      </c>
      <c r="E151" t="s">
        <v>659</v>
      </c>
      <c r="F151">
        <v>4.7300000000000002E-2</v>
      </c>
    </row>
    <row r="152" spans="1:6" x14ac:dyDescent="0.3">
      <c r="A152" t="s">
        <v>56</v>
      </c>
      <c r="B152">
        <v>18</v>
      </c>
      <c r="C152">
        <v>1</v>
      </c>
      <c r="D152" t="s">
        <v>266</v>
      </c>
      <c r="E152" t="s">
        <v>662</v>
      </c>
      <c r="F152">
        <v>7.8399999999999997E-2</v>
      </c>
    </row>
    <row r="153" spans="1:6" x14ac:dyDescent="0.3">
      <c r="A153" t="s">
        <v>55</v>
      </c>
      <c r="B153">
        <v>18</v>
      </c>
      <c r="C153">
        <v>1</v>
      </c>
      <c r="D153" t="s">
        <v>265</v>
      </c>
      <c r="E153" t="s">
        <v>660</v>
      </c>
      <c r="F153">
        <v>8.0729000000000006</v>
      </c>
    </row>
    <row r="154" spans="1:6" x14ac:dyDescent="0.3">
      <c r="A154" t="s">
        <v>55</v>
      </c>
      <c r="B154">
        <v>18</v>
      </c>
      <c r="C154">
        <v>1</v>
      </c>
      <c r="D154" t="s">
        <v>265</v>
      </c>
      <c r="E154" t="s">
        <v>659</v>
      </c>
      <c r="F154">
        <v>5.96E-2</v>
      </c>
    </row>
    <row r="155" spans="1:6" x14ac:dyDescent="0.3">
      <c r="A155" t="s">
        <v>55</v>
      </c>
      <c r="B155">
        <v>18</v>
      </c>
      <c r="C155">
        <v>1</v>
      </c>
      <c r="D155" t="s">
        <v>265</v>
      </c>
      <c r="E155" t="s">
        <v>662</v>
      </c>
      <c r="F155">
        <v>5.4813999999999998</v>
      </c>
    </row>
    <row r="156" spans="1:6" x14ac:dyDescent="0.3">
      <c r="A156" t="s">
        <v>64</v>
      </c>
      <c r="B156">
        <v>7</v>
      </c>
      <c r="C156">
        <v>2</v>
      </c>
      <c r="D156" t="s">
        <v>308</v>
      </c>
      <c r="E156" t="s">
        <v>660</v>
      </c>
      <c r="F156">
        <v>29.016500000000001</v>
      </c>
    </row>
    <row r="157" spans="1:6" x14ac:dyDescent="0.3">
      <c r="A157" t="s">
        <v>64</v>
      </c>
      <c r="B157">
        <v>7</v>
      </c>
      <c r="C157">
        <v>1</v>
      </c>
      <c r="D157" t="s">
        <v>277</v>
      </c>
      <c r="E157" t="s">
        <v>659</v>
      </c>
      <c r="F157">
        <v>7.5600000000000001E-2</v>
      </c>
    </row>
    <row r="158" spans="1:6" x14ac:dyDescent="0.3">
      <c r="A158" t="s">
        <v>64</v>
      </c>
      <c r="B158">
        <v>7</v>
      </c>
      <c r="C158">
        <v>1</v>
      </c>
      <c r="D158" t="s">
        <v>277</v>
      </c>
      <c r="E158" t="s">
        <v>662</v>
      </c>
      <c r="F158">
        <v>22.970300000000002</v>
      </c>
    </row>
    <row r="159" spans="1:6" x14ac:dyDescent="0.3">
      <c r="A159" t="s">
        <v>63</v>
      </c>
      <c r="B159">
        <v>7</v>
      </c>
      <c r="C159">
        <v>2</v>
      </c>
      <c r="D159" t="s">
        <v>304</v>
      </c>
      <c r="E159" t="s">
        <v>660</v>
      </c>
      <c r="F159">
        <v>28.982099999999999</v>
      </c>
    </row>
    <row r="160" spans="1:6" x14ac:dyDescent="0.3">
      <c r="A160" t="s">
        <v>63</v>
      </c>
      <c r="B160">
        <v>7</v>
      </c>
      <c r="C160">
        <v>1</v>
      </c>
      <c r="D160" t="s">
        <v>276</v>
      </c>
      <c r="E160" t="s">
        <v>659</v>
      </c>
      <c r="F160">
        <v>0.10630000000000001</v>
      </c>
    </row>
    <row r="161" spans="1:6" x14ac:dyDescent="0.3">
      <c r="A161" t="s">
        <v>63</v>
      </c>
      <c r="B161">
        <v>7</v>
      </c>
      <c r="C161">
        <v>1</v>
      </c>
      <c r="D161" t="s">
        <v>276</v>
      </c>
      <c r="E161" t="s">
        <v>662</v>
      </c>
      <c r="F161">
        <v>22.671600000000002</v>
      </c>
    </row>
    <row r="162" spans="1:6" x14ac:dyDescent="0.3">
      <c r="A162" t="s">
        <v>77</v>
      </c>
      <c r="B162">
        <v>15</v>
      </c>
      <c r="C162">
        <v>1</v>
      </c>
      <c r="D162" t="s">
        <v>297</v>
      </c>
      <c r="E162" t="s">
        <v>660</v>
      </c>
      <c r="F162">
        <v>15.3811</v>
      </c>
    </row>
    <row r="163" spans="1:6" x14ac:dyDescent="0.3">
      <c r="A163" t="s">
        <v>77</v>
      </c>
      <c r="B163">
        <v>15</v>
      </c>
      <c r="C163">
        <v>1</v>
      </c>
      <c r="D163" t="s">
        <v>297</v>
      </c>
      <c r="E163" t="s">
        <v>659</v>
      </c>
      <c r="F163">
        <v>3.5499999999999997E-2</v>
      </c>
    </row>
    <row r="164" spans="1:6" x14ac:dyDescent="0.3">
      <c r="A164" t="s">
        <v>77</v>
      </c>
      <c r="B164">
        <v>15</v>
      </c>
      <c r="C164">
        <v>1</v>
      </c>
      <c r="D164" t="s">
        <v>297</v>
      </c>
      <c r="E164" t="s">
        <v>662</v>
      </c>
      <c r="F164">
        <v>8.5627999999999993</v>
      </c>
    </row>
    <row r="165" spans="1:6" x14ac:dyDescent="0.3">
      <c r="A165" t="s">
        <v>76</v>
      </c>
      <c r="B165">
        <v>15</v>
      </c>
      <c r="C165">
        <v>1</v>
      </c>
      <c r="D165" t="s">
        <v>296</v>
      </c>
      <c r="E165" t="s">
        <v>660</v>
      </c>
      <c r="F165">
        <v>15.399100000000001</v>
      </c>
    </row>
    <row r="166" spans="1:6" x14ac:dyDescent="0.3">
      <c r="A166" t="s">
        <v>76</v>
      </c>
      <c r="B166">
        <v>15</v>
      </c>
      <c r="C166">
        <v>1</v>
      </c>
      <c r="D166" t="s">
        <v>296</v>
      </c>
      <c r="E166" t="s">
        <v>659</v>
      </c>
      <c r="F166">
        <v>2.8799999999999999E-2</v>
      </c>
    </row>
    <row r="167" spans="1:6" x14ac:dyDescent="0.3">
      <c r="A167" t="s">
        <v>76</v>
      </c>
      <c r="B167">
        <v>15</v>
      </c>
      <c r="C167">
        <v>1</v>
      </c>
      <c r="D167" t="s">
        <v>296</v>
      </c>
      <c r="E167" t="s">
        <v>662</v>
      </c>
      <c r="F167">
        <v>8.6808999999999994</v>
      </c>
    </row>
    <row r="168" spans="1:6" x14ac:dyDescent="0.3">
      <c r="A168" t="s">
        <v>66</v>
      </c>
      <c r="B168">
        <v>1</v>
      </c>
      <c r="C168">
        <v>2</v>
      </c>
      <c r="D168" t="s">
        <v>303</v>
      </c>
      <c r="E168" t="s">
        <v>660</v>
      </c>
      <c r="F168">
        <v>40.311900000000001</v>
      </c>
    </row>
    <row r="169" spans="1:6" x14ac:dyDescent="0.3">
      <c r="A169" t="s">
        <v>66</v>
      </c>
      <c r="B169">
        <v>1</v>
      </c>
      <c r="C169">
        <v>1</v>
      </c>
      <c r="D169" t="s">
        <v>279</v>
      </c>
      <c r="E169" t="s">
        <v>661</v>
      </c>
      <c r="F169">
        <v>6.9699999999999998E-2</v>
      </c>
    </row>
    <row r="170" spans="1:6" x14ac:dyDescent="0.3">
      <c r="A170" t="s">
        <v>66</v>
      </c>
      <c r="B170">
        <v>1</v>
      </c>
      <c r="C170">
        <v>1</v>
      </c>
      <c r="D170" t="s">
        <v>279</v>
      </c>
      <c r="E170" t="s">
        <v>659</v>
      </c>
      <c r="F170">
        <v>0.21179999999999999</v>
      </c>
    </row>
    <row r="171" spans="1:6" x14ac:dyDescent="0.3">
      <c r="A171" t="s">
        <v>66</v>
      </c>
      <c r="B171">
        <v>1</v>
      </c>
      <c r="C171">
        <v>1</v>
      </c>
      <c r="D171" t="s">
        <v>279</v>
      </c>
      <c r="E171" t="s">
        <v>662</v>
      </c>
      <c r="F171">
        <v>18.873799999999999</v>
      </c>
    </row>
    <row r="172" spans="1:6" x14ac:dyDescent="0.3">
      <c r="A172" t="s">
        <v>65</v>
      </c>
      <c r="B172">
        <v>1</v>
      </c>
      <c r="C172">
        <v>1</v>
      </c>
      <c r="D172" t="s">
        <v>278</v>
      </c>
      <c r="E172" t="s">
        <v>660</v>
      </c>
      <c r="F172">
        <v>23.5366</v>
      </c>
    </row>
    <row r="173" spans="1:6" x14ac:dyDescent="0.3">
      <c r="A173" t="s">
        <v>65</v>
      </c>
      <c r="B173">
        <v>1</v>
      </c>
      <c r="C173">
        <v>1</v>
      </c>
      <c r="D173" t="s">
        <v>278</v>
      </c>
      <c r="E173" t="s">
        <v>659</v>
      </c>
      <c r="F173">
        <v>0.17499999999999999</v>
      </c>
    </row>
    <row r="174" spans="1:6" x14ac:dyDescent="0.3">
      <c r="A174" t="s">
        <v>65</v>
      </c>
      <c r="B174">
        <v>1</v>
      </c>
      <c r="C174">
        <v>1</v>
      </c>
      <c r="D174" t="s">
        <v>278</v>
      </c>
      <c r="E174" t="s">
        <v>662</v>
      </c>
      <c r="F174">
        <v>17.916899999999998</v>
      </c>
    </row>
    <row r="175" spans="1:6" x14ac:dyDescent="0.3">
      <c r="A175" t="s">
        <v>60</v>
      </c>
      <c r="B175">
        <v>12</v>
      </c>
      <c r="C175">
        <v>1</v>
      </c>
      <c r="D175" t="s">
        <v>273</v>
      </c>
      <c r="E175" t="s">
        <v>661</v>
      </c>
      <c r="F175">
        <v>0.308</v>
      </c>
    </row>
    <row r="176" spans="1:6" x14ac:dyDescent="0.3">
      <c r="A176" t="s">
        <v>60</v>
      </c>
      <c r="B176">
        <v>12</v>
      </c>
      <c r="C176">
        <v>1</v>
      </c>
      <c r="D176" t="s">
        <v>273</v>
      </c>
      <c r="E176" t="s">
        <v>659</v>
      </c>
      <c r="F176">
        <v>0.41220000000000001</v>
      </c>
    </row>
    <row r="177" spans="1:6" x14ac:dyDescent="0.3">
      <c r="A177" t="s">
        <v>60</v>
      </c>
      <c r="B177">
        <v>12</v>
      </c>
      <c r="C177">
        <v>1</v>
      </c>
      <c r="D177" t="s">
        <v>273</v>
      </c>
      <c r="E177" t="s">
        <v>662</v>
      </c>
      <c r="F177">
        <v>15.3179</v>
      </c>
    </row>
    <row r="178" spans="1:6" x14ac:dyDescent="0.3">
      <c r="A178" t="s">
        <v>60</v>
      </c>
      <c r="B178">
        <v>12</v>
      </c>
      <c r="C178">
        <v>2</v>
      </c>
      <c r="D178" t="s">
        <v>301</v>
      </c>
      <c r="E178" t="s">
        <v>660</v>
      </c>
      <c r="F178">
        <v>68.212199999999996</v>
      </c>
    </row>
    <row r="179" spans="1:6" x14ac:dyDescent="0.3">
      <c r="A179" t="s">
        <v>57</v>
      </c>
      <c r="B179">
        <v>12</v>
      </c>
      <c r="C179">
        <v>1</v>
      </c>
      <c r="D179" t="s">
        <v>270</v>
      </c>
      <c r="E179" t="s">
        <v>661</v>
      </c>
      <c r="F179">
        <v>0.31109999999999999</v>
      </c>
    </row>
    <row r="180" spans="1:6" x14ac:dyDescent="0.3">
      <c r="A180" t="s">
        <v>57</v>
      </c>
      <c r="B180">
        <v>12</v>
      </c>
      <c r="C180">
        <v>1</v>
      </c>
      <c r="D180" t="s">
        <v>270</v>
      </c>
      <c r="E180" t="s">
        <v>659</v>
      </c>
      <c r="F180">
        <v>0.35749999999999998</v>
      </c>
    </row>
    <row r="181" spans="1:6" x14ac:dyDescent="0.3">
      <c r="A181" t="s">
        <v>57</v>
      </c>
      <c r="B181">
        <v>12</v>
      </c>
      <c r="C181">
        <v>1</v>
      </c>
      <c r="D181" t="s">
        <v>270</v>
      </c>
      <c r="E181" t="s">
        <v>662</v>
      </c>
      <c r="F181">
        <v>18.389199999999999</v>
      </c>
    </row>
    <row r="182" spans="1:6" x14ac:dyDescent="0.3">
      <c r="A182" t="s">
        <v>57</v>
      </c>
      <c r="B182">
        <v>12</v>
      </c>
      <c r="C182">
        <v>2</v>
      </c>
      <c r="D182" t="s">
        <v>300</v>
      </c>
      <c r="E182" t="s">
        <v>660</v>
      </c>
      <c r="F182">
        <v>69.017300000000006</v>
      </c>
    </row>
    <row r="183" spans="1:6" x14ac:dyDescent="0.3">
      <c r="A183" t="s">
        <v>62</v>
      </c>
      <c r="B183">
        <v>12</v>
      </c>
      <c r="C183">
        <v>1</v>
      </c>
      <c r="D183" t="s">
        <v>275</v>
      </c>
      <c r="E183" t="s">
        <v>659</v>
      </c>
      <c r="F183" t="s">
        <v>135</v>
      </c>
    </row>
    <row r="184" spans="1:6" x14ac:dyDescent="0.3">
      <c r="A184" t="s">
        <v>62</v>
      </c>
      <c r="B184">
        <v>12</v>
      </c>
      <c r="C184">
        <v>1</v>
      </c>
      <c r="D184" t="s">
        <v>275</v>
      </c>
      <c r="E184" t="s">
        <v>660</v>
      </c>
      <c r="F184" t="s">
        <v>135</v>
      </c>
    </row>
    <row r="185" spans="1:6" x14ac:dyDescent="0.3">
      <c r="A185" t="s">
        <v>62</v>
      </c>
      <c r="B185">
        <v>12</v>
      </c>
      <c r="C185">
        <v>1</v>
      </c>
      <c r="D185" t="s">
        <v>275</v>
      </c>
      <c r="E185" t="s">
        <v>661</v>
      </c>
      <c r="F185" t="s">
        <v>135</v>
      </c>
    </row>
    <row r="186" spans="1:6" x14ac:dyDescent="0.3">
      <c r="A186" t="s">
        <v>62</v>
      </c>
      <c r="B186">
        <v>12</v>
      </c>
      <c r="C186">
        <v>1</v>
      </c>
      <c r="D186" t="s">
        <v>275</v>
      </c>
      <c r="E186" t="s">
        <v>662</v>
      </c>
      <c r="F186" t="s">
        <v>135</v>
      </c>
    </row>
    <row r="187" spans="1:6" x14ac:dyDescent="0.3">
      <c r="A187" t="s">
        <v>61</v>
      </c>
      <c r="B187">
        <v>12</v>
      </c>
      <c r="C187">
        <v>2</v>
      </c>
      <c r="D187" t="s">
        <v>302</v>
      </c>
      <c r="E187" t="s">
        <v>660</v>
      </c>
      <c r="F187">
        <v>68.169399999999996</v>
      </c>
    </row>
    <row r="188" spans="1:6" x14ac:dyDescent="0.3">
      <c r="A188" t="s">
        <v>61</v>
      </c>
      <c r="B188">
        <v>12</v>
      </c>
      <c r="C188">
        <v>1</v>
      </c>
      <c r="D188" t="s">
        <v>274</v>
      </c>
      <c r="E188" t="s">
        <v>661</v>
      </c>
      <c r="F188">
        <v>0.313</v>
      </c>
    </row>
    <row r="189" spans="1:6" x14ac:dyDescent="0.3">
      <c r="A189" t="s">
        <v>61</v>
      </c>
      <c r="B189">
        <v>12</v>
      </c>
      <c r="C189">
        <v>1</v>
      </c>
      <c r="D189" t="s">
        <v>274</v>
      </c>
      <c r="E189" t="s">
        <v>659</v>
      </c>
      <c r="F189">
        <v>0.41410000000000002</v>
      </c>
    </row>
    <row r="190" spans="1:6" x14ac:dyDescent="0.3">
      <c r="A190" t="s">
        <v>61</v>
      </c>
      <c r="B190">
        <v>12</v>
      </c>
      <c r="C190">
        <v>1</v>
      </c>
      <c r="D190" t="s">
        <v>274</v>
      </c>
      <c r="E190" t="s">
        <v>662</v>
      </c>
      <c r="F190">
        <v>18.750399999999999</v>
      </c>
    </row>
    <row r="191" spans="1:6" x14ac:dyDescent="0.3">
      <c r="A191" t="s">
        <v>147</v>
      </c>
      <c r="B191">
        <v>10</v>
      </c>
      <c r="C191">
        <v>100</v>
      </c>
      <c r="D191" t="s">
        <v>216</v>
      </c>
      <c r="E191" t="s">
        <v>660</v>
      </c>
      <c r="F191">
        <v>319.91050000000001</v>
      </c>
    </row>
    <row r="192" spans="1:6" x14ac:dyDescent="0.3">
      <c r="A192" t="s">
        <v>147</v>
      </c>
      <c r="B192">
        <v>10</v>
      </c>
      <c r="C192">
        <v>1</v>
      </c>
      <c r="D192" t="s">
        <v>498</v>
      </c>
      <c r="E192" t="s">
        <v>659</v>
      </c>
      <c r="F192">
        <v>0.1898</v>
      </c>
    </row>
    <row r="193" spans="1:6" x14ac:dyDescent="0.3">
      <c r="A193" t="s">
        <v>147</v>
      </c>
      <c r="B193">
        <v>10</v>
      </c>
      <c r="C193">
        <v>1</v>
      </c>
      <c r="D193" t="s">
        <v>498</v>
      </c>
      <c r="E193" t="s">
        <v>662</v>
      </c>
      <c r="F193">
        <v>38.611199999999997</v>
      </c>
    </row>
    <row r="194" spans="1:6" x14ac:dyDescent="0.3">
      <c r="A194" t="s">
        <v>147</v>
      </c>
      <c r="B194">
        <v>10</v>
      </c>
      <c r="C194">
        <v>1</v>
      </c>
      <c r="D194" t="s">
        <v>498</v>
      </c>
      <c r="E194" t="s">
        <v>661</v>
      </c>
      <c r="F194" t="s">
        <v>135</v>
      </c>
    </row>
    <row r="195" spans="1:6" x14ac:dyDescent="0.3">
      <c r="A195" t="s">
        <v>144</v>
      </c>
      <c r="B195">
        <v>10</v>
      </c>
      <c r="C195">
        <v>100</v>
      </c>
      <c r="D195" t="s">
        <v>213</v>
      </c>
      <c r="E195" t="s">
        <v>660</v>
      </c>
      <c r="F195">
        <v>327.56979999999999</v>
      </c>
    </row>
    <row r="196" spans="1:6" x14ac:dyDescent="0.3">
      <c r="A196" t="s">
        <v>144</v>
      </c>
      <c r="B196">
        <v>10</v>
      </c>
      <c r="C196">
        <v>1</v>
      </c>
      <c r="D196" t="s">
        <v>495</v>
      </c>
      <c r="E196" t="s">
        <v>659</v>
      </c>
      <c r="F196">
        <v>0.22819999999999999</v>
      </c>
    </row>
    <row r="197" spans="1:6" x14ac:dyDescent="0.3">
      <c r="A197" t="s">
        <v>144</v>
      </c>
      <c r="B197">
        <v>10</v>
      </c>
      <c r="C197">
        <v>1</v>
      </c>
      <c r="D197" t="s">
        <v>495</v>
      </c>
      <c r="E197" t="s">
        <v>662</v>
      </c>
      <c r="F197">
        <v>40.835299999999997</v>
      </c>
    </row>
    <row r="198" spans="1:6" x14ac:dyDescent="0.3">
      <c r="A198" t="s">
        <v>144</v>
      </c>
      <c r="B198">
        <v>10</v>
      </c>
      <c r="C198">
        <v>1</v>
      </c>
      <c r="D198" t="s">
        <v>495</v>
      </c>
      <c r="E198" t="s">
        <v>661</v>
      </c>
      <c r="F198" t="s">
        <v>135</v>
      </c>
    </row>
    <row r="199" spans="1:6" x14ac:dyDescent="0.3">
      <c r="A199" t="s">
        <v>149</v>
      </c>
      <c r="B199">
        <v>10</v>
      </c>
      <c r="C199">
        <v>1</v>
      </c>
      <c r="D199" t="s">
        <v>500</v>
      </c>
      <c r="E199" t="s">
        <v>660</v>
      </c>
      <c r="F199">
        <v>9.7600000000000006E-2</v>
      </c>
    </row>
    <row r="200" spans="1:6" x14ac:dyDescent="0.3">
      <c r="A200" t="s">
        <v>149</v>
      </c>
      <c r="B200">
        <v>10</v>
      </c>
      <c r="C200">
        <v>1</v>
      </c>
      <c r="D200" t="s">
        <v>500</v>
      </c>
      <c r="E200" t="s">
        <v>661</v>
      </c>
      <c r="F200" t="s">
        <v>135</v>
      </c>
    </row>
    <row r="201" spans="1:6" x14ac:dyDescent="0.3">
      <c r="A201" t="s">
        <v>149</v>
      </c>
      <c r="B201">
        <v>10</v>
      </c>
      <c r="C201">
        <v>1</v>
      </c>
      <c r="D201" t="s">
        <v>500</v>
      </c>
      <c r="E201" t="s">
        <v>659</v>
      </c>
      <c r="F201" t="s">
        <v>135</v>
      </c>
    </row>
    <row r="202" spans="1:6" x14ac:dyDescent="0.3">
      <c r="A202" t="s">
        <v>149</v>
      </c>
      <c r="B202">
        <v>10</v>
      </c>
      <c r="C202">
        <v>1</v>
      </c>
      <c r="D202" t="s">
        <v>500</v>
      </c>
      <c r="E202" t="s">
        <v>662</v>
      </c>
      <c r="F202" t="s">
        <v>135</v>
      </c>
    </row>
    <row r="203" spans="1:6" x14ac:dyDescent="0.3">
      <c r="A203" t="s">
        <v>148</v>
      </c>
      <c r="B203">
        <v>10</v>
      </c>
      <c r="C203">
        <v>100</v>
      </c>
      <c r="D203" t="s">
        <v>217</v>
      </c>
      <c r="E203" t="s">
        <v>660</v>
      </c>
      <c r="F203">
        <v>330.7835</v>
      </c>
    </row>
    <row r="204" spans="1:6" x14ac:dyDescent="0.3">
      <c r="A204" t="s">
        <v>148</v>
      </c>
      <c r="B204">
        <v>10</v>
      </c>
      <c r="C204">
        <v>1</v>
      </c>
      <c r="D204" t="s">
        <v>499</v>
      </c>
      <c r="E204" t="s">
        <v>659</v>
      </c>
      <c r="F204">
        <v>0.2324</v>
      </c>
    </row>
    <row r="205" spans="1:6" x14ac:dyDescent="0.3">
      <c r="A205" t="s">
        <v>148</v>
      </c>
      <c r="B205">
        <v>10</v>
      </c>
      <c r="C205">
        <v>1</v>
      </c>
      <c r="D205" t="s">
        <v>499</v>
      </c>
      <c r="E205" t="s">
        <v>662</v>
      </c>
      <c r="F205">
        <v>40.573799999999999</v>
      </c>
    </row>
    <row r="206" spans="1:6" x14ac:dyDescent="0.3">
      <c r="A206" t="s">
        <v>527</v>
      </c>
      <c r="B206">
        <v>13</v>
      </c>
      <c r="C206">
        <v>1</v>
      </c>
      <c r="D206" t="s">
        <v>589</v>
      </c>
      <c r="E206" t="s">
        <v>660</v>
      </c>
      <c r="F206">
        <v>12.0274</v>
      </c>
    </row>
    <row r="207" spans="1:6" x14ac:dyDescent="0.3">
      <c r="A207" t="s">
        <v>527</v>
      </c>
      <c r="B207">
        <v>13</v>
      </c>
      <c r="C207">
        <v>1</v>
      </c>
      <c r="D207" t="s">
        <v>589</v>
      </c>
      <c r="E207" t="s">
        <v>659</v>
      </c>
      <c r="F207">
        <v>0.11700000000000001</v>
      </c>
    </row>
    <row r="208" spans="1:6" x14ac:dyDescent="0.3">
      <c r="A208" t="s">
        <v>527</v>
      </c>
      <c r="B208">
        <v>13</v>
      </c>
      <c r="C208">
        <v>1</v>
      </c>
      <c r="D208" t="s">
        <v>589</v>
      </c>
      <c r="E208" t="s">
        <v>662</v>
      </c>
      <c r="F208">
        <v>23.711200000000002</v>
      </c>
    </row>
    <row r="209" spans="1:6" x14ac:dyDescent="0.3">
      <c r="A209" t="s">
        <v>527</v>
      </c>
      <c r="B209">
        <v>13</v>
      </c>
      <c r="C209">
        <v>1</v>
      </c>
      <c r="D209" t="s">
        <v>589</v>
      </c>
      <c r="E209" t="s">
        <v>661</v>
      </c>
      <c r="F209" t="s">
        <v>135</v>
      </c>
    </row>
    <row r="210" spans="1:6" x14ac:dyDescent="0.3">
      <c r="A210" t="s">
        <v>528</v>
      </c>
      <c r="B210">
        <v>13</v>
      </c>
      <c r="C210">
        <v>1</v>
      </c>
      <c r="D210" t="s">
        <v>590</v>
      </c>
      <c r="E210" t="s">
        <v>660</v>
      </c>
      <c r="F210">
        <v>12.5504</v>
      </c>
    </row>
    <row r="211" spans="1:6" x14ac:dyDescent="0.3">
      <c r="A211" t="s">
        <v>528</v>
      </c>
      <c r="B211">
        <v>13</v>
      </c>
      <c r="C211">
        <v>1</v>
      </c>
      <c r="D211" t="s">
        <v>590</v>
      </c>
      <c r="E211" t="s">
        <v>659</v>
      </c>
      <c r="F211">
        <v>0.10199999999999999</v>
      </c>
    </row>
    <row r="212" spans="1:6" x14ac:dyDescent="0.3">
      <c r="A212" t="s">
        <v>528</v>
      </c>
      <c r="B212">
        <v>13</v>
      </c>
      <c r="C212">
        <v>1</v>
      </c>
      <c r="D212" t="s">
        <v>590</v>
      </c>
      <c r="E212" t="s">
        <v>662</v>
      </c>
      <c r="F212">
        <v>22.200800000000001</v>
      </c>
    </row>
    <row r="213" spans="1:6" x14ac:dyDescent="0.3">
      <c r="A213" t="s">
        <v>528</v>
      </c>
      <c r="B213">
        <v>13</v>
      </c>
      <c r="C213">
        <v>1</v>
      </c>
      <c r="D213" t="s">
        <v>590</v>
      </c>
      <c r="E213" t="s">
        <v>661</v>
      </c>
      <c r="F213" t="s">
        <v>135</v>
      </c>
    </row>
    <row r="214" spans="1:6" x14ac:dyDescent="0.3">
      <c r="A214" t="s">
        <v>524</v>
      </c>
      <c r="B214">
        <v>13</v>
      </c>
      <c r="C214">
        <v>1</v>
      </c>
      <c r="D214" t="s">
        <v>586</v>
      </c>
      <c r="E214" t="s">
        <v>659</v>
      </c>
      <c r="F214" t="s">
        <v>135</v>
      </c>
    </row>
    <row r="215" spans="1:6" x14ac:dyDescent="0.3">
      <c r="A215" t="s">
        <v>524</v>
      </c>
      <c r="B215">
        <v>13</v>
      </c>
      <c r="C215">
        <v>1</v>
      </c>
      <c r="D215" t="s">
        <v>586</v>
      </c>
      <c r="E215" t="s">
        <v>660</v>
      </c>
      <c r="F215" t="s">
        <v>135</v>
      </c>
    </row>
    <row r="216" spans="1:6" x14ac:dyDescent="0.3">
      <c r="A216" t="s">
        <v>524</v>
      </c>
      <c r="B216">
        <v>13</v>
      </c>
      <c r="C216">
        <v>1</v>
      </c>
      <c r="D216" t="s">
        <v>586</v>
      </c>
      <c r="E216" t="s">
        <v>661</v>
      </c>
      <c r="F216" t="s">
        <v>135</v>
      </c>
    </row>
    <row r="217" spans="1:6" x14ac:dyDescent="0.3">
      <c r="A217" t="s">
        <v>524</v>
      </c>
      <c r="B217">
        <v>13</v>
      </c>
      <c r="C217">
        <v>1</v>
      </c>
      <c r="D217" t="s">
        <v>586</v>
      </c>
      <c r="E217" t="s">
        <v>662</v>
      </c>
      <c r="F217" t="s">
        <v>135</v>
      </c>
    </row>
    <row r="218" spans="1:6" x14ac:dyDescent="0.3">
      <c r="A218" t="s">
        <v>519</v>
      </c>
      <c r="B218">
        <v>13</v>
      </c>
      <c r="C218">
        <v>1</v>
      </c>
      <c r="D218" t="s">
        <v>580</v>
      </c>
      <c r="E218" t="s">
        <v>660</v>
      </c>
      <c r="F218">
        <v>5.1449999999999996</v>
      </c>
    </row>
    <row r="219" spans="1:6" x14ac:dyDescent="0.3">
      <c r="A219" t="s">
        <v>519</v>
      </c>
      <c r="B219">
        <v>13</v>
      </c>
      <c r="C219">
        <v>1</v>
      </c>
      <c r="D219" t="s">
        <v>580</v>
      </c>
      <c r="E219" t="s">
        <v>659</v>
      </c>
      <c r="F219">
        <v>9.1600000000000001E-2</v>
      </c>
    </row>
    <row r="220" spans="1:6" x14ac:dyDescent="0.3">
      <c r="A220" t="s">
        <v>519</v>
      </c>
      <c r="B220">
        <v>13</v>
      </c>
      <c r="C220">
        <v>1</v>
      </c>
      <c r="D220" t="s">
        <v>580</v>
      </c>
      <c r="E220" t="s">
        <v>662</v>
      </c>
      <c r="F220">
        <v>10.74</v>
      </c>
    </row>
    <row r="221" spans="1:6" x14ac:dyDescent="0.3">
      <c r="A221" t="s">
        <v>532</v>
      </c>
      <c r="B221">
        <v>17</v>
      </c>
      <c r="C221">
        <v>1</v>
      </c>
      <c r="D221" t="s">
        <v>594</v>
      </c>
      <c r="E221" t="s">
        <v>660</v>
      </c>
      <c r="F221">
        <v>20.480699999999999</v>
      </c>
    </row>
    <row r="222" spans="1:6" x14ac:dyDescent="0.3">
      <c r="A222" t="s">
        <v>532</v>
      </c>
      <c r="B222">
        <v>17</v>
      </c>
      <c r="C222">
        <v>1</v>
      </c>
      <c r="D222" t="s">
        <v>594</v>
      </c>
      <c r="E222" t="s">
        <v>662</v>
      </c>
      <c r="F222">
        <v>43.406300000000002</v>
      </c>
    </row>
    <row r="223" spans="1:6" x14ac:dyDescent="0.3">
      <c r="A223" t="s">
        <v>532</v>
      </c>
      <c r="B223">
        <v>17</v>
      </c>
      <c r="C223">
        <v>1</v>
      </c>
      <c r="D223" t="s">
        <v>594</v>
      </c>
      <c r="E223" t="s">
        <v>661</v>
      </c>
      <c r="F223" t="s">
        <v>135</v>
      </c>
    </row>
    <row r="224" spans="1:6" x14ac:dyDescent="0.3">
      <c r="A224" t="s">
        <v>532</v>
      </c>
      <c r="B224">
        <v>17</v>
      </c>
      <c r="C224">
        <v>1</v>
      </c>
      <c r="D224" t="s">
        <v>594</v>
      </c>
      <c r="E224" t="s">
        <v>659</v>
      </c>
      <c r="F224" t="s">
        <v>135</v>
      </c>
    </row>
    <row r="225" spans="1:6" x14ac:dyDescent="0.3">
      <c r="A225" t="s">
        <v>526</v>
      </c>
      <c r="B225">
        <v>17</v>
      </c>
      <c r="C225">
        <v>1</v>
      </c>
      <c r="D225" t="s">
        <v>588</v>
      </c>
      <c r="E225" t="s">
        <v>659</v>
      </c>
      <c r="F225">
        <v>0.1623</v>
      </c>
    </row>
    <row r="226" spans="1:6" x14ac:dyDescent="0.3">
      <c r="A226" t="s">
        <v>526</v>
      </c>
      <c r="B226">
        <v>17</v>
      </c>
      <c r="C226">
        <v>10</v>
      </c>
      <c r="D226" t="s">
        <v>613</v>
      </c>
      <c r="E226" t="s">
        <v>660</v>
      </c>
      <c r="F226">
        <v>155.82669999999999</v>
      </c>
    </row>
    <row r="227" spans="1:6" x14ac:dyDescent="0.3">
      <c r="A227" t="s">
        <v>526</v>
      </c>
      <c r="B227">
        <v>17</v>
      </c>
      <c r="C227">
        <v>10</v>
      </c>
      <c r="D227" t="s">
        <v>613</v>
      </c>
      <c r="E227" t="s">
        <v>662</v>
      </c>
      <c r="F227">
        <v>76.3797</v>
      </c>
    </row>
    <row r="228" spans="1:6" x14ac:dyDescent="0.3">
      <c r="A228" t="s">
        <v>523</v>
      </c>
      <c r="B228">
        <v>41</v>
      </c>
      <c r="C228">
        <v>1</v>
      </c>
      <c r="D228" t="s">
        <v>584</v>
      </c>
      <c r="E228" t="s">
        <v>660</v>
      </c>
      <c r="F228">
        <v>0.75939999999999996</v>
      </c>
    </row>
    <row r="229" spans="1:6" x14ac:dyDescent="0.3">
      <c r="A229" t="s">
        <v>523</v>
      </c>
      <c r="B229">
        <v>41</v>
      </c>
      <c r="C229">
        <v>1</v>
      </c>
      <c r="D229" t="s">
        <v>584</v>
      </c>
      <c r="E229" t="s">
        <v>659</v>
      </c>
      <c r="F229">
        <v>2.0500000000000001E-2</v>
      </c>
    </row>
    <row r="230" spans="1:6" x14ac:dyDescent="0.3">
      <c r="A230" t="s">
        <v>523</v>
      </c>
      <c r="B230">
        <v>41</v>
      </c>
      <c r="C230">
        <v>1</v>
      </c>
      <c r="D230" t="s">
        <v>584</v>
      </c>
      <c r="E230" t="s">
        <v>662</v>
      </c>
      <c r="F230">
        <v>1.6307</v>
      </c>
    </row>
    <row r="231" spans="1:6" x14ac:dyDescent="0.3">
      <c r="A231" t="s">
        <v>523</v>
      </c>
      <c r="B231">
        <v>41</v>
      </c>
      <c r="C231">
        <v>1</v>
      </c>
      <c r="D231" t="s">
        <v>584</v>
      </c>
      <c r="E231" t="s">
        <v>661</v>
      </c>
      <c r="F231" t="s">
        <v>135</v>
      </c>
    </row>
    <row r="232" spans="1:6" x14ac:dyDescent="0.3">
      <c r="A232" t="s">
        <v>550</v>
      </c>
      <c r="B232">
        <v>41</v>
      </c>
      <c r="C232">
        <v>1</v>
      </c>
      <c r="D232" t="s">
        <v>578</v>
      </c>
      <c r="E232" t="s">
        <v>660</v>
      </c>
      <c r="F232">
        <v>0.82689999999999997</v>
      </c>
    </row>
    <row r="233" spans="1:6" x14ac:dyDescent="0.3">
      <c r="A233" t="s">
        <v>550</v>
      </c>
      <c r="B233">
        <v>41</v>
      </c>
      <c r="C233">
        <v>1</v>
      </c>
      <c r="D233" t="s">
        <v>578</v>
      </c>
      <c r="E233" t="s">
        <v>659</v>
      </c>
      <c r="F233">
        <v>2.52E-2</v>
      </c>
    </row>
    <row r="234" spans="1:6" x14ac:dyDescent="0.3">
      <c r="A234" t="s">
        <v>550</v>
      </c>
      <c r="B234">
        <v>41</v>
      </c>
      <c r="C234">
        <v>1</v>
      </c>
      <c r="D234" t="s">
        <v>578</v>
      </c>
      <c r="E234" t="s">
        <v>662</v>
      </c>
      <c r="F234">
        <v>2.0737999999999999</v>
      </c>
    </row>
    <row r="235" spans="1:6" x14ac:dyDescent="0.3">
      <c r="A235" t="s">
        <v>153</v>
      </c>
      <c r="B235">
        <v>1</v>
      </c>
      <c r="C235">
        <v>1</v>
      </c>
      <c r="D235" t="s">
        <v>504</v>
      </c>
      <c r="E235" t="s">
        <v>660</v>
      </c>
      <c r="F235">
        <v>5.9269999999999996</v>
      </c>
    </row>
    <row r="236" spans="1:6" x14ac:dyDescent="0.3">
      <c r="A236" t="s">
        <v>153</v>
      </c>
      <c r="B236">
        <v>1</v>
      </c>
      <c r="C236">
        <v>1</v>
      </c>
      <c r="D236" t="s">
        <v>504</v>
      </c>
      <c r="E236" t="s">
        <v>659</v>
      </c>
      <c r="F236">
        <v>0.26190000000000002</v>
      </c>
    </row>
    <row r="237" spans="1:6" x14ac:dyDescent="0.3">
      <c r="A237" t="s">
        <v>153</v>
      </c>
      <c r="B237">
        <v>1</v>
      </c>
      <c r="C237">
        <v>1</v>
      </c>
      <c r="D237" t="s">
        <v>504</v>
      </c>
      <c r="E237" t="s">
        <v>662</v>
      </c>
      <c r="F237">
        <v>5.3146000000000004</v>
      </c>
    </row>
    <row r="238" spans="1:6" x14ac:dyDescent="0.3">
      <c r="A238" t="s">
        <v>153</v>
      </c>
      <c r="B238">
        <v>1</v>
      </c>
      <c r="C238">
        <v>1</v>
      </c>
      <c r="D238" t="s">
        <v>504</v>
      </c>
      <c r="E238" t="s">
        <v>661</v>
      </c>
      <c r="F238" t="s">
        <v>135</v>
      </c>
    </row>
    <row r="239" spans="1:6" x14ac:dyDescent="0.3">
      <c r="A239" t="s">
        <v>152</v>
      </c>
      <c r="B239">
        <v>1</v>
      </c>
      <c r="C239">
        <v>1</v>
      </c>
      <c r="D239" t="s">
        <v>503</v>
      </c>
      <c r="E239" t="s">
        <v>660</v>
      </c>
      <c r="F239">
        <v>6.0075000000000003</v>
      </c>
    </row>
    <row r="240" spans="1:6" x14ac:dyDescent="0.3">
      <c r="A240" t="s">
        <v>152</v>
      </c>
      <c r="B240">
        <v>1</v>
      </c>
      <c r="C240">
        <v>1</v>
      </c>
      <c r="D240" t="s">
        <v>503</v>
      </c>
      <c r="E240" t="s">
        <v>659</v>
      </c>
      <c r="F240">
        <v>0.25169999999999998</v>
      </c>
    </row>
    <row r="241" spans="1:6" x14ac:dyDescent="0.3">
      <c r="A241" t="s">
        <v>152</v>
      </c>
      <c r="B241">
        <v>1</v>
      </c>
      <c r="C241">
        <v>1</v>
      </c>
      <c r="D241" t="s">
        <v>503</v>
      </c>
      <c r="E241" t="s">
        <v>662</v>
      </c>
      <c r="F241">
        <v>6.8045</v>
      </c>
    </row>
    <row r="242" spans="1:6" x14ac:dyDescent="0.3">
      <c r="A242" t="s">
        <v>152</v>
      </c>
      <c r="B242">
        <v>1</v>
      </c>
      <c r="C242">
        <v>1</v>
      </c>
      <c r="D242" t="s">
        <v>503</v>
      </c>
      <c r="E242" t="s">
        <v>661</v>
      </c>
      <c r="F242" t="s">
        <v>135</v>
      </c>
    </row>
    <row r="243" spans="1:6" x14ac:dyDescent="0.3">
      <c r="A243" t="s">
        <v>155</v>
      </c>
      <c r="B243">
        <v>1</v>
      </c>
      <c r="C243">
        <v>1</v>
      </c>
      <c r="D243" t="s">
        <v>507</v>
      </c>
      <c r="E243" t="s">
        <v>659</v>
      </c>
      <c r="F243" t="s">
        <v>135</v>
      </c>
    </row>
    <row r="244" spans="1:6" x14ac:dyDescent="0.3">
      <c r="A244" t="s">
        <v>155</v>
      </c>
      <c r="B244">
        <v>1</v>
      </c>
      <c r="C244">
        <v>1</v>
      </c>
      <c r="D244" t="s">
        <v>507</v>
      </c>
      <c r="E244" t="s">
        <v>660</v>
      </c>
      <c r="F244" t="s">
        <v>135</v>
      </c>
    </row>
    <row r="245" spans="1:6" x14ac:dyDescent="0.3">
      <c r="A245" t="s">
        <v>155</v>
      </c>
      <c r="B245">
        <v>1</v>
      </c>
      <c r="C245">
        <v>1</v>
      </c>
      <c r="D245" t="s">
        <v>507</v>
      </c>
      <c r="E245" t="s">
        <v>661</v>
      </c>
      <c r="F245" t="s">
        <v>135</v>
      </c>
    </row>
    <row r="246" spans="1:6" x14ac:dyDescent="0.3">
      <c r="A246" t="s">
        <v>155</v>
      </c>
      <c r="B246">
        <v>1</v>
      </c>
      <c r="C246">
        <v>1</v>
      </c>
      <c r="D246" t="s">
        <v>507</v>
      </c>
      <c r="E246" t="s">
        <v>662</v>
      </c>
      <c r="F246" t="s">
        <v>135</v>
      </c>
    </row>
    <row r="247" spans="1:6" x14ac:dyDescent="0.3">
      <c r="A247" t="s">
        <v>154</v>
      </c>
      <c r="B247">
        <v>1</v>
      </c>
      <c r="C247">
        <v>1</v>
      </c>
      <c r="D247" t="s">
        <v>506</v>
      </c>
      <c r="E247" t="s">
        <v>660</v>
      </c>
      <c r="F247">
        <v>6.0083000000000002</v>
      </c>
    </row>
    <row r="248" spans="1:6" x14ac:dyDescent="0.3">
      <c r="A248" t="s">
        <v>154</v>
      </c>
      <c r="B248">
        <v>1</v>
      </c>
      <c r="C248">
        <v>1</v>
      </c>
      <c r="D248" t="s">
        <v>506</v>
      </c>
      <c r="E248" t="s">
        <v>659</v>
      </c>
      <c r="F248">
        <v>0.26590000000000003</v>
      </c>
    </row>
    <row r="249" spans="1:6" x14ac:dyDescent="0.3">
      <c r="A249" t="s">
        <v>154</v>
      </c>
      <c r="B249">
        <v>1</v>
      </c>
      <c r="C249">
        <v>1</v>
      </c>
      <c r="D249" t="s">
        <v>506</v>
      </c>
      <c r="E249" t="s">
        <v>662</v>
      </c>
      <c r="F249">
        <v>6.7253999999999996</v>
      </c>
    </row>
    <row r="250" spans="1:6" x14ac:dyDescent="0.3">
      <c r="A250" t="s">
        <v>151</v>
      </c>
      <c r="B250">
        <v>3</v>
      </c>
      <c r="C250">
        <v>20</v>
      </c>
      <c r="D250" t="s">
        <v>219</v>
      </c>
      <c r="E250" t="s">
        <v>660</v>
      </c>
      <c r="F250">
        <v>245.01089999999999</v>
      </c>
    </row>
    <row r="251" spans="1:6" x14ac:dyDescent="0.3">
      <c r="A251" t="s">
        <v>151</v>
      </c>
      <c r="B251">
        <v>3</v>
      </c>
      <c r="C251">
        <v>20</v>
      </c>
      <c r="D251" t="s">
        <v>219</v>
      </c>
      <c r="E251" t="s">
        <v>662</v>
      </c>
      <c r="F251">
        <v>565.38419999999996</v>
      </c>
    </row>
    <row r="252" spans="1:6" x14ac:dyDescent="0.3">
      <c r="A252" t="s">
        <v>151</v>
      </c>
      <c r="B252">
        <v>3</v>
      </c>
      <c r="C252">
        <v>1</v>
      </c>
      <c r="D252" t="s">
        <v>502</v>
      </c>
      <c r="E252" t="s">
        <v>659</v>
      </c>
      <c r="F252">
        <v>1.5268999999999999</v>
      </c>
    </row>
    <row r="253" spans="1:6" x14ac:dyDescent="0.3">
      <c r="A253" t="s">
        <v>151</v>
      </c>
      <c r="B253">
        <v>3</v>
      </c>
      <c r="C253">
        <v>1</v>
      </c>
      <c r="D253" t="s">
        <v>502</v>
      </c>
      <c r="E253" t="s">
        <v>661</v>
      </c>
      <c r="F253" t="s">
        <v>135</v>
      </c>
    </row>
    <row r="254" spans="1:6" x14ac:dyDescent="0.3">
      <c r="A254" t="s">
        <v>150</v>
      </c>
      <c r="B254">
        <v>3</v>
      </c>
      <c r="C254">
        <v>20</v>
      </c>
      <c r="D254" t="s">
        <v>218</v>
      </c>
      <c r="E254" t="s">
        <v>660</v>
      </c>
      <c r="F254">
        <v>281.72949999999997</v>
      </c>
    </row>
    <row r="255" spans="1:6" x14ac:dyDescent="0.3">
      <c r="A255" t="s">
        <v>150</v>
      </c>
      <c r="B255">
        <v>3</v>
      </c>
      <c r="C255">
        <v>20</v>
      </c>
      <c r="D255" t="s">
        <v>218</v>
      </c>
      <c r="E255" t="s">
        <v>662</v>
      </c>
      <c r="F255">
        <v>643.9941</v>
      </c>
    </row>
    <row r="256" spans="1:6" x14ac:dyDescent="0.3">
      <c r="A256" t="s">
        <v>150</v>
      </c>
      <c r="B256">
        <v>3</v>
      </c>
      <c r="C256">
        <v>1</v>
      </c>
      <c r="D256" t="s">
        <v>501</v>
      </c>
      <c r="E256" t="s">
        <v>659</v>
      </c>
      <c r="F256">
        <v>1.4664999999999999</v>
      </c>
    </row>
    <row r="257" spans="1:6" x14ac:dyDescent="0.3">
      <c r="A257" t="s">
        <v>530</v>
      </c>
      <c r="B257">
        <v>18</v>
      </c>
      <c r="C257">
        <v>1</v>
      </c>
      <c r="D257" t="s">
        <v>592</v>
      </c>
      <c r="E257" t="s">
        <v>659</v>
      </c>
      <c r="F257">
        <v>0.18709999999999999</v>
      </c>
    </row>
    <row r="258" spans="1:6" x14ac:dyDescent="0.3">
      <c r="A258" t="s">
        <v>530</v>
      </c>
      <c r="B258">
        <v>18</v>
      </c>
      <c r="C258">
        <v>1</v>
      </c>
      <c r="D258" t="s">
        <v>592</v>
      </c>
      <c r="E258" t="s">
        <v>662</v>
      </c>
      <c r="F258">
        <v>9.8671000000000006</v>
      </c>
    </row>
    <row r="259" spans="1:6" x14ac:dyDescent="0.3">
      <c r="A259" t="s">
        <v>530</v>
      </c>
      <c r="B259">
        <v>18</v>
      </c>
      <c r="C259">
        <v>5</v>
      </c>
      <c r="D259" t="s">
        <v>629</v>
      </c>
      <c r="E259" t="s">
        <v>660</v>
      </c>
      <c r="F259">
        <v>72.204300000000003</v>
      </c>
    </row>
    <row r="260" spans="1:6" x14ac:dyDescent="0.3">
      <c r="A260" t="s">
        <v>530</v>
      </c>
      <c r="B260">
        <v>18</v>
      </c>
      <c r="C260">
        <v>1</v>
      </c>
      <c r="D260" t="s">
        <v>592</v>
      </c>
      <c r="E260" t="s">
        <v>661</v>
      </c>
      <c r="F260" t="s">
        <v>135</v>
      </c>
    </row>
    <row r="261" spans="1:6" x14ac:dyDescent="0.3">
      <c r="A261" t="s">
        <v>516</v>
      </c>
      <c r="B261">
        <v>18</v>
      </c>
      <c r="C261">
        <v>1</v>
      </c>
      <c r="D261" t="s">
        <v>575</v>
      </c>
      <c r="E261" t="s">
        <v>659</v>
      </c>
      <c r="F261">
        <v>0.2094</v>
      </c>
    </row>
    <row r="262" spans="1:6" x14ac:dyDescent="0.3">
      <c r="A262" t="s">
        <v>516</v>
      </c>
      <c r="B262">
        <v>18</v>
      </c>
      <c r="C262">
        <v>1</v>
      </c>
      <c r="D262" t="s">
        <v>575</v>
      </c>
      <c r="E262" t="s">
        <v>662</v>
      </c>
      <c r="F262">
        <v>11.7462</v>
      </c>
    </row>
    <row r="263" spans="1:6" x14ac:dyDescent="0.3">
      <c r="A263" t="s">
        <v>516</v>
      </c>
      <c r="B263">
        <v>18</v>
      </c>
      <c r="C263">
        <v>5</v>
      </c>
      <c r="D263" t="s">
        <v>626</v>
      </c>
      <c r="E263" t="s">
        <v>660</v>
      </c>
      <c r="F263">
        <v>79.386700000000005</v>
      </c>
    </row>
    <row r="264" spans="1:6" x14ac:dyDescent="0.3">
      <c r="A264" t="s">
        <v>157</v>
      </c>
      <c r="B264">
        <v>5</v>
      </c>
      <c r="C264">
        <v>1</v>
      </c>
      <c r="D264" t="s">
        <v>509</v>
      </c>
      <c r="E264" t="s">
        <v>660</v>
      </c>
      <c r="F264">
        <v>17.8385</v>
      </c>
    </row>
    <row r="265" spans="1:6" x14ac:dyDescent="0.3">
      <c r="A265" t="s">
        <v>157</v>
      </c>
      <c r="B265">
        <v>5</v>
      </c>
      <c r="C265">
        <v>1</v>
      </c>
      <c r="D265" t="s">
        <v>509</v>
      </c>
      <c r="E265" t="s">
        <v>659</v>
      </c>
      <c r="F265">
        <v>0.13469999999999999</v>
      </c>
    </row>
    <row r="266" spans="1:6" x14ac:dyDescent="0.3">
      <c r="A266" t="s">
        <v>157</v>
      </c>
      <c r="B266">
        <v>5</v>
      </c>
      <c r="C266">
        <v>1</v>
      </c>
      <c r="D266" t="s">
        <v>509</v>
      </c>
      <c r="E266" t="s">
        <v>662</v>
      </c>
      <c r="F266">
        <v>18.1341</v>
      </c>
    </row>
    <row r="267" spans="1:6" x14ac:dyDescent="0.3">
      <c r="A267" t="s">
        <v>157</v>
      </c>
      <c r="B267">
        <v>5</v>
      </c>
      <c r="C267">
        <v>1</v>
      </c>
      <c r="D267" t="s">
        <v>509</v>
      </c>
      <c r="E267" t="s">
        <v>661</v>
      </c>
      <c r="F267" t="s">
        <v>135</v>
      </c>
    </row>
    <row r="268" spans="1:6" x14ac:dyDescent="0.3">
      <c r="A268" t="s">
        <v>156</v>
      </c>
      <c r="B268">
        <v>5</v>
      </c>
      <c r="C268">
        <v>1</v>
      </c>
      <c r="D268" t="s">
        <v>508</v>
      </c>
      <c r="E268" t="s">
        <v>660</v>
      </c>
      <c r="F268">
        <v>18.101400000000002</v>
      </c>
    </row>
    <row r="269" spans="1:6" x14ac:dyDescent="0.3">
      <c r="A269" t="s">
        <v>156</v>
      </c>
      <c r="B269">
        <v>5</v>
      </c>
      <c r="C269">
        <v>1</v>
      </c>
      <c r="D269" t="s">
        <v>508</v>
      </c>
      <c r="E269" t="s">
        <v>659</v>
      </c>
      <c r="F269">
        <v>0.13600000000000001</v>
      </c>
    </row>
    <row r="270" spans="1:6" x14ac:dyDescent="0.3">
      <c r="A270" t="s">
        <v>156</v>
      </c>
      <c r="B270">
        <v>5</v>
      </c>
      <c r="C270">
        <v>1</v>
      </c>
      <c r="D270" t="s">
        <v>508</v>
      </c>
      <c r="E270" t="s">
        <v>662</v>
      </c>
      <c r="F270">
        <v>18.426400000000001</v>
      </c>
    </row>
    <row r="271" spans="1:6" x14ac:dyDescent="0.3">
      <c r="A271" t="s">
        <v>159</v>
      </c>
      <c r="B271">
        <v>5</v>
      </c>
      <c r="C271">
        <v>5</v>
      </c>
      <c r="D271" t="s">
        <v>221</v>
      </c>
      <c r="E271" t="s">
        <v>662</v>
      </c>
      <c r="F271">
        <v>58.151400000000002</v>
      </c>
    </row>
    <row r="272" spans="1:6" x14ac:dyDescent="0.3">
      <c r="A272" t="s">
        <v>159</v>
      </c>
      <c r="B272">
        <v>5</v>
      </c>
      <c r="C272">
        <v>1</v>
      </c>
      <c r="D272" t="s">
        <v>511</v>
      </c>
      <c r="E272" t="s">
        <v>660</v>
      </c>
      <c r="F272">
        <v>20.959099999999999</v>
      </c>
    </row>
    <row r="273" spans="1:6" x14ac:dyDescent="0.3">
      <c r="A273" t="s">
        <v>159</v>
      </c>
      <c r="B273">
        <v>5</v>
      </c>
      <c r="C273">
        <v>1</v>
      </c>
      <c r="D273" t="s">
        <v>511</v>
      </c>
      <c r="E273" t="s">
        <v>659</v>
      </c>
      <c r="F273">
        <v>1.4012</v>
      </c>
    </row>
    <row r="274" spans="1:6" x14ac:dyDescent="0.3">
      <c r="A274" t="s">
        <v>159</v>
      </c>
      <c r="B274">
        <v>5</v>
      </c>
      <c r="C274">
        <v>1</v>
      </c>
      <c r="D274" t="s">
        <v>511</v>
      </c>
      <c r="E274" t="s">
        <v>661</v>
      </c>
      <c r="F274" t="s">
        <v>135</v>
      </c>
    </row>
    <row r="275" spans="1:6" x14ac:dyDescent="0.3">
      <c r="A275" t="s">
        <v>158</v>
      </c>
      <c r="B275">
        <v>5</v>
      </c>
      <c r="C275">
        <v>5</v>
      </c>
      <c r="D275" t="s">
        <v>220</v>
      </c>
      <c r="E275" t="s">
        <v>662</v>
      </c>
      <c r="F275">
        <v>48.773600000000002</v>
      </c>
    </row>
    <row r="276" spans="1:6" x14ac:dyDescent="0.3">
      <c r="A276" t="s">
        <v>158</v>
      </c>
      <c r="B276">
        <v>5</v>
      </c>
      <c r="C276">
        <v>1</v>
      </c>
      <c r="D276" t="s">
        <v>510</v>
      </c>
      <c r="E276" t="s">
        <v>660</v>
      </c>
      <c r="F276">
        <v>21.758299999999998</v>
      </c>
    </row>
    <row r="277" spans="1:6" x14ac:dyDescent="0.3">
      <c r="A277" t="s">
        <v>158</v>
      </c>
      <c r="B277">
        <v>5</v>
      </c>
      <c r="C277">
        <v>1</v>
      </c>
      <c r="D277" t="s">
        <v>510</v>
      </c>
      <c r="E277" t="s">
        <v>659</v>
      </c>
      <c r="F277">
        <v>1.3178000000000001</v>
      </c>
    </row>
    <row r="278" spans="1:6" x14ac:dyDescent="0.3">
      <c r="A278" t="s">
        <v>94</v>
      </c>
      <c r="B278">
        <v>8</v>
      </c>
      <c r="C278">
        <v>1</v>
      </c>
      <c r="D278" t="s">
        <v>317</v>
      </c>
      <c r="E278" t="s">
        <v>661</v>
      </c>
      <c r="F278" t="s">
        <v>135</v>
      </c>
    </row>
    <row r="279" spans="1:6" x14ac:dyDescent="0.3">
      <c r="A279" t="s">
        <v>93</v>
      </c>
      <c r="B279">
        <v>8</v>
      </c>
      <c r="C279">
        <v>1</v>
      </c>
      <c r="D279" t="s">
        <v>316</v>
      </c>
      <c r="E279" t="s">
        <v>661</v>
      </c>
      <c r="F279" t="s">
        <v>135</v>
      </c>
    </row>
    <row r="280" spans="1:6" x14ac:dyDescent="0.3">
      <c r="A280" t="s">
        <v>88</v>
      </c>
      <c r="B280">
        <v>4</v>
      </c>
      <c r="C280">
        <v>1</v>
      </c>
      <c r="D280" t="s">
        <v>311</v>
      </c>
      <c r="E280" t="s">
        <v>660</v>
      </c>
      <c r="F280" t="s">
        <v>135</v>
      </c>
    </row>
    <row r="281" spans="1:6" x14ac:dyDescent="0.3">
      <c r="A281" t="s">
        <v>88</v>
      </c>
      <c r="B281">
        <v>4</v>
      </c>
      <c r="C281">
        <v>1</v>
      </c>
      <c r="D281" t="s">
        <v>311</v>
      </c>
      <c r="E281" t="s">
        <v>662</v>
      </c>
      <c r="F281" t="s">
        <v>135</v>
      </c>
    </row>
    <row r="282" spans="1:6" x14ac:dyDescent="0.3">
      <c r="A282" t="s">
        <v>88</v>
      </c>
      <c r="B282">
        <v>4</v>
      </c>
      <c r="C282">
        <v>1</v>
      </c>
      <c r="D282" t="s">
        <v>311</v>
      </c>
      <c r="E282" t="s">
        <v>661</v>
      </c>
      <c r="F282" t="s">
        <v>135</v>
      </c>
    </row>
    <row r="283" spans="1:6" x14ac:dyDescent="0.3">
      <c r="A283" t="s">
        <v>538</v>
      </c>
      <c r="B283">
        <v>4</v>
      </c>
      <c r="C283">
        <v>1</v>
      </c>
      <c r="D283" t="s">
        <v>604</v>
      </c>
      <c r="E283" t="s">
        <v>661</v>
      </c>
      <c r="F283" t="s">
        <v>135</v>
      </c>
    </row>
    <row r="284" spans="1:6" x14ac:dyDescent="0.3">
      <c r="A284" t="s">
        <v>551</v>
      </c>
      <c r="B284">
        <v>4</v>
      </c>
      <c r="C284">
        <v>1</v>
      </c>
      <c r="D284" t="s">
        <v>603</v>
      </c>
      <c r="E284" t="s">
        <v>661</v>
      </c>
      <c r="F284" t="s">
        <v>135</v>
      </c>
    </row>
    <row r="285" spans="1:6" x14ac:dyDescent="0.3">
      <c r="A285" t="s">
        <v>552</v>
      </c>
      <c r="B285">
        <v>4</v>
      </c>
      <c r="C285">
        <v>1</v>
      </c>
      <c r="D285" t="s">
        <v>605</v>
      </c>
      <c r="E285" t="s">
        <v>661</v>
      </c>
      <c r="F285" t="s">
        <v>135</v>
      </c>
    </row>
    <row r="286" spans="1:6" x14ac:dyDescent="0.3">
      <c r="A286" t="s">
        <v>32</v>
      </c>
      <c r="B286">
        <v>4</v>
      </c>
      <c r="C286">
        <v>20</v>
      </c>
      <c r="D286" t="s">
        <v>292</v>
      </c>
      <c r="E286" t="s">
        <v>661</v>
      </c>
      <c r="F286" t="s">
        <v>135</v>
      </c>
    </row>
    <row r="287" spans="1:6" x14ac:dyDescent="0.3">
      <c r="A287" t="s">
        <v>31</v>
      </c>
      <c r="B287">
        <v>4</v>
      </c>
      <c r="C287">
        <v>1</v>
      </c>
      <c r="D287" t="s">
        <v>231</v>
      </c>
      <c r="E287" t="s">
        <v>661</v>
      </c>
      <c r="F287" t="s">
        <v>135</v>
      </c>
    </row>
    <row r="288" spans="1:6" x14ac:dyDescent="0.3">
      <c r="A288" t="s">
        <v>37</v>
      </c>
      <c r="B288">
        <v>4</v>
      </c>
      <c r="C288">
        <v>1</v>
      </c>
      <c r="D288" t="s">
        <v>240</v>
      </c>
      <c r="E288" t="s">
        <v>661</v>
      </c>
      <c r="F288" t="s">
        <v>135</v>
      </c>
    </row>
    <row r="289" spans="1:6" x14ac:dyDescent="0.3">
      <c r="A289" t="s">
        <v>47</v>
      </c>
      <c r="B289">
        <v>12</v>
      </c>
      <c r="C289">
        <v>1</v>
      </c>
      <c r="D289" t="s">
        <v>251</v>
      </c>
      <c r="E289" t="s">
        <v>661</v>
      </c>
      <c r="F289" t="s">
        <v>135</v>
      </c>
    </row>
    <row r="290" spans="1:6" x14ac:dyDescent="0.3">
      <c r="A290" t="s">
        <v>46</v>
      </c>
      <c r="B290">
        <v>12</v>
      </c>
      <c r="C290">
        <v>1</v>
      </c>
      <c r="D290" t="s">
        <v>250</v>
      </c>
      <c r="E290" t="s">
        <v>661</v>
      </c>
      <c r="F290" t="s">
        <v>135</v>
      </c>
    </row>
    <row r="291" spans="1:6" x14ac:dyDescent="0.3">
      <c r="A291" t="s">
        <v>34</v>
      </c>
      <c r="B291">
        <v>7</v>
      </c>
      <c r="C291">
        <v>1</v>
      </c>
      <c r="D291" t="s">
        <v>237</v>
      </c>
      <c r="E291" t="s">
        <v>661</v>
      </c>
      <c r="F291" t="s">
        <v>135</v>
      </c>
    </row>
    <row r="292" spans="1:6" x14ac:dyDescent="0.3">
      <c r="A292" t="s">
        <v>33</v>
      </c>
      <c r="B292">
        <v>7</v>
      </c>
      <c r="C292">
        <v>1</v>
      </c>
      <c r="D292" t="s">
        <v>233</v>
      </c>
      <c r="E292" t="s">
        <v>661</v>
      </c>
      <c r="F292" t="s">
        <v>135</v>
      </c>
    </row>
    <row r="293" spans="1:6" x14ac:dyDescent="0.3">
      <c r="A293" t="s">
        <v>28</v>
      </c>
      <c r="B293">
        <v>6</v>
      </c>
      <c r="C293">
        <v>1</v>
      </c>
      <c r="D293" t="s">
        <v>228</v>
      </c>
      <c r="E293" t="s">
        <v>659</v>
      </c>
      <c r="F293" t="s">
        <v>135</v>
      </c>
    </row>
    <row r="294" spans="1:6" x14ac:dyDescent="0.3">
      <c r="A294" t="s">
        <v>28</v>
      </c>
      <c r="B294">
        <v>6</v>
      </c>
      <c r="C294">
        <v>1</v>
      </c>
      <c r="D294" t="s">
        <v>228</v>
      </c>
      <c r="E294" t="s">
        <v>661</v>
      </c>
      <c r="F294" t="s">
        <v>135</v>
      </c>
    </row>
    <row r="295" spans="1:6" x14ac:dyDescent="0.3">
      <c r="A295" t="s">
        <v>26</v>
      </c>
      <c r="B295">
        <v>6</v>
      </c>
      <c r="C295">
        <v>10</v>
      </c>
      <c r="D295" t="s">
        <v>284</v>
      </c>
      <c r="E295" t="s">
        <v>661</v>
      </c>
      <c r="F295" t="s">
        <v>135</v>
      </c>
    </row>
    <row r="296" spans="1:6" x14ac:dyDescent="0.3">
      <c r="A296" t="s">
        <v>25</v>
      </c>
      <c r="B296">
        <v>6</v>
      </c>
      <c r="C296">
        <v>10</v>
      </c>
      <c r="D296" t="s">
        <v>287</v>
      </c>
      <c r="E296" t="s">
        <v>661</v>
      </c>
      <c r="F296" t="s">
        <v>135</v>
      </c>
    </row>
    <row r="297" spans="1:6" x14ac:dyDescent="0.3">
      <c r="A297" t="s">
        <v>27</v>
      </c>
      <c r="B297">
        <v>6</v>
      </c>
      <c r="C297">
        <v>10</v>
      </c>
      <c r="D297" t="s">
        <v>288</v>
      </c>
      <c r="E297" t="s">
        <v>661</v>
      </c>
      <c r="F297" t="s">
        <v>135</v>
      </c>
    </row>
    <row r="298" spans="1:6" x14ac:dyDescent="0.3">
      <c r="A298" t="s">
        <v>30</v>
      </c>
      <c r="B298">
        <v>6</v>
      </c>
      <c r="C298">
        <v>10</v>
      </c>
      <c r="D298" t="s">
        <v>290</v>
      </c>
      <c r="E298" t="s">
        <v>661</v>
      </c>
      <c r="F298" t="s">
        <v>135</v>
      </c>
    </row>
    <row r="299" spans="1:6" x14ac:dyDescent="0.3">
      <c r="A299" t="s">
        <v>29</v>
      </c>
      <c r="B299">
        <v>6</v>
      </c>
      <c r="C299">
        <v>10</v>
      </c>
      <c r="D299" t="s">
        <v>289</v>
      </c>
      <c r="E299" t="s">
        <v>661</v>
      </c>
      <c r="F299" t="s">
        <v>135</v>
      </c>
    </row>
    <row r="300" spans="1:6" x14ac:dyDescent="0.3">
      <c r="A300" t="s">
        <v>644</v>
      </c>
      <c r="B300">
        <v>7</v>
      </c>
      <c r="C300">
        <v>5</v>
      </c>
      <c r="D300" t="s">
        <v>631</v>
      </c>
      <c r="E300" t="s">
        <v>661</v>
      </c>
      <c r="F300" t="s">
        <v>135</v>
      </c>
    </row>
    <row r="301" spans="1:6" x14ac:dyDescent="0.3">
      <c r="A301" t="s">
        <v>645</v>
      </c>
      <c r="B301">
        <v>7</v>
      </c>
      <c r="C301">
        <v>5</v>
      </c>
      <c r="D301" t="s">
        <v>630</v>
      </c>
      <c r="E301" t="s">
        <v>661</v>
      </c>
      <c r="F301" t="s">
        <v>135</v>
      </c>
    </row>
    <row r="302" spans="1:6" x14ac:dyDescent="0.3">
      <c r="A302" t="s">
        <v>650</v>
      </c>
      <c r="B302">
        <v>2</v>
      </c>
      <c r="C302">
        <v>2</v>
      </c>
      <c r="D302" t="s">
        <v>615</v>
      </c>
      <c r="E302" t="s">
        <v>661</v>
      </c>
      <c r="F302" t="s">
        <v>135</v>
      </c>
    </row>
    <row r="303" spans="1:6" x14ac:dyDescent="0.3">
      <c r="A303" t="s">
        <v>652</v>
      </c>
      <c r="B303">
        <v>2</v>
      </c>
      <c r="C303">
        <v>2</v>
      </c>
      <c r="D303" t="s">
        <v>616</v>
      </c>
      <c r="E303" t="s">
        <v>661</v>
      </c>
      <c r="F303" t="s">
        <v>135</v>
      </c>
    </row>
    <row r="304" spans="1:6" x14ac:dyDescent="0.3">
      <c r="A304" t="s">
        <v>537</v>
      </c>
      <c r="B304">
        <v>9</v>
      </c>
      <c r="C304">
        <v>1</v>
      </c>
      <c r="D304" t="s">
        <v>602</v>
      </c>
      <c r="E304" t="s">
        <v>661</v>
      </c>
      <c r="F304" t="s">
        <v>135</v>
      </c>
    </row>
    <row r="305" spans="1:6" x14ac:dyDescent="0.3">
      <c r="A305" t="s">
        <v>534</v>
      </c>
      <c r="B305">
        <v>9</v>
      </c>
      <c r="C305">
        <v>5</v>
      </c>
      <c r="D305" t="s">
        <v>617</v>
      </c>
      <c r="E305" t="s">
        <v>661</v>
      </c>
      <c r="F305" t="s">
        <v>135</v>
      </c>
    </row>
    <row r="306" spans="1:6" x14ac:dyDescent="0.3">
      <c r="A306" t="s">
        <v>522</v>
      </c>
      <c r="B306">
        <v>8</v>
      </c>
      <c r="C306">
        <v>50</v>
      </c>
      <c r="D306" t="s">
        <v>610</v>
      </c>
      <c r="E306" t="s">
        <v>661</v>
      </c>
      <c r="F306" t="s">
        <v>135</v>
      </c>
    </row>
    <row r="307" spans="1:6" x14ac:dyDescent="0.3">
      <c r="A307" t="s">
        <v>522</v>
      </c>
      <c r="B307">
        <v>8</v>
      </c>
      <c r="C307">
        <v>50</v>
      </c>
      <c r="D307" t="s">
        <v>610</v>
      </c>
      <c r="E307" t="s">
        <v>659</v>
      </c>
      <c r="F307" t="s">
        <v>135</v>
      </c>
    </row>
    <row r="308" spans="1:6" x14ac:dyDescent="0.3">
      <c r="A308" t="s">
        <v>520</v>
      </c>
      <c r="B308">
        <v>8</v>
      </c>
      <c r="C308">
        <v>50</v>
      </c>
      <c r="D308" t="s">
        <v>608</v>
      </c>
      <c r="E308" t="s">
        <v>661</v>
      </c>
      <c r="F308" t="s">
        <v>135</v>
      </c>
    </row>
    <row r="309" spans="1:6" x14ac:dyDescent="0.3">
      <c r="A309" t="s">
        <v>520</v>
      </c>
      <c r="B309">
        <v>8</v>
      </c>
      <c r="C309">
        <v>50</v>
      </c>
      <c r="D309" t="s">
        <v>608</v>
      </c>
      <c r="E309" t="s">
        <v>659</v>
      </c>
      <c r="F309" t="s">
        <v>135</v>
      </c>
    </row>
    <row r="310" spans="1:6" x14ac:dyDescent="0.3">
      <c r="A310" t="s">
        <v>529</v>
      </c>
      <c r="B310">
        <v>12</v>
      </c>
      <c r="C310">
        <v>1</v>
      </c>
      <c r="D310" t="s">
        <v>591</v>
      </c>
      <c r="E310" t="s">
        <v>661</v>
      </c>
      <c r="F310" t="s">
        <v>135</v>
      </c>
    </row>
    <row r="311" spans="1:6" x14ac:dyDescent="0.3">
      <c r="A311" t="s">
        <v>518</v>
      </c>
      <c r="B311">
        <v>12</v>
      </c>
      <c r="C311">
        <v>1</v>
      </c>
      <c r="D311" t="s">
        <v>579</v>
      </c>
      <c r="E311" t="s">
        <v>661</v>
      </c>
      <c r="F311" t="s">
        <v>135</v>
      </c>
    </row>
    <row r="312" spans="1:6" x14ac:dyDescent="0.3">
      <c r="A312" t="s">
        <v>96</v>
      </c>
      <c r="B312">
        <v>11</v>
      </c>
      <c r="C312">
        <v>1</v>
      </c>
      <c r="D312" t="s">
        <v>320</v>
      </c>
      <c r="E312" t="s">
        <v>661</v>
      </c>
      <c r="F312" t="s">
        <v>135</v>
      </c>
    </row>
    <row r="313" spans="1:6" x14ac:dyDescent="0.3">
      <c r="A313" t="s">
        <v>95</v>
      </c>
      <c r="B313">
        <v>11</v>
      </c>
      <c r="C313">
        <v>1</v>
      </c>
      <c r="D313" t="s">
        <v>319</v>
      </c>
      <c r="E313" t="s">
        <v>661</v>
      </c>
      <c r="F313" t="s">
        <v>135</v>
      </c>
    </row>
    <row r="314" spans="1:6" x14ac:dyDescent="0.3">
      <c r="A314" t="s">
        <v>98</v>
      </c>
      <c r="B314">
        <v>4</v>
      </c>
      <c r="C314">
        <v>1</v>
      </c>
      <c r="D314" t="s">
        <v>322</v>
      </c>
      <c r="E314" t="s">
        <v>661</v>
      </c>
      <c r="F314" t="s">
        <v>135</v>
      </c>
    </row>
    <row r="315" spans="1:6" x14ac:dyDescent="0.3">
      <c r="A315" t="s">
        <v>97</v>
      </c>
      <c r="B315">
        <v>4</v>
      </c>
      <c r="C315">
        <v>1</v>
      </c>
      <c r="D315" t="s">
        <v>321</v>
      </c>
      <c r="E315" t="s">
        <v>661</v>
      </c>
      <c r="F315" t="s">
        <v>135</v>
      </c>
    </row>
    <row r="316" spans="1:6" x14ac:dyDescent="0.3">
      <c r="A316" t="s">
        <v>201</v>
      </c>
      <c r="B316">
        <v>4</v>
      </c>
      <c r="C316">
        <v>1</v>
      </c>
      <c r="D316" t="s">
        <v>453</v>
      </c>
      <c r="E316" t="s">
        <v>661</v>
      </c>
      <c r="F316" t="s">
        <v>135</v>
      </c>
    </row>
    <row r="317" spans="1:6" x14ac:dyDescent="0.3">
      <c r="A317" t="s">
        <v>201</v>
      </c>
      <c r="B317">
        <v>4</v>
      </c>
      <c r="C317">
        <v>1</v>
      </c>
      <c r="D317" t="s">
        <v>453</v>
      </c>
      <c r="E317" t="s">
        <v>662</v>
      </c>
      <c r="F317" t="s">
        <v>135</v>
      </c>
    </row>
    <row r="318" spans="1:6" x14ac:dyDescent="0.3">
      <c r="A318" t="s">
        <v>201</v>
      </c>
      <c r="B318">
        <v>4</v>
      </c>
      <c r="C318">
        <v>1</v>
      </c>
      <c r="D318" t="s">
        <v>453</v>
      </c>
      <c r="E318" t="s">
        <v>660</v>
      </c>
      <c r="F318" t="s">
        <v>135</v>
      </c>
    </row>
    <row r="319" spans="1:6" x14ac:dyDescent="0.3">
      <c r="A319" t="s">
        <v>90</v>
      </c>
      <c r="B319">
        <v>4</v>
      </c>
      <c r="C319">
        <v>1</v>
      </c>
      <c r="D319" t="s">
        <v>313</v>
      </c>
      <c r="E319" t="s">
        <v>661</v>
      </c>
      <c r="F319" t="s">
        <v>135</v>
      </c>
    </row>
    <row r="320" spans="1:6" x14ac:dyDescent="0.3">
      <c r="A320" t="s">
        <v>89</v>
      </c>
      <c r="B320">
        <v>4</v>
      </c>
      <c r="C320">
        <v>1</v>
      </c>
      <c r="D320" t="s">
        <v>312</v>
      </c>
      <c r="E320" t="s">
        <v>661</v>
      </c>
      <c r="F320" t="s">
        <v>135</v>
      </c>
    </row>
    <row r="321" spans="1:6" x14ac:dyDescent="0.3">
      <c r="A321" t="s">
        <v>91</v>
      </c>
      <c r="B321">
        <v>4</v>
      </c>
      <c r="C321">
        <v>1</v>
      </c>
      <c r="D321" t="s">
        <v>314</v>
      </c>
      <c r="E321" t="s">
        <v>661</v>
      </c>
      <c r="F321" t="s">
        <v>135</v>
      </c>
    </row>
    <row r="322" spans="1:6" x14ac:dyDescent="0.3">
      <c r="A322" t="s">
        <v>79</v>
      </c>
      <c r="B322">
        <v>8</v>
      </c>
      <c r="C322">
        <v>1</v>
      </c>
      <c r="D322" t="s">
        <v>299</v>
      </c>
      <c r="E322" t="s">
        <v>661</v>
      </c>
      <c r="F322" t="s">
        <v>135</v>
      </c>
    </row>
    <row r="323" spans="1:6" x14ac:dyDescent="0.3">
      <c r="A323" t="s">
        <v>78</v>
      </c>
      <c r="B323">
        <v>8</v>
      </c>
      <c r="C323">
        <v>1</v>
      </c>
      <c r="D323" t="s">
        <v>298</v>
      </c>
      <c r="E323" t="s">
        <v>661</v>
      </c>
      <c r="F323" t="s">
        <v>135</v>
      </c>
    </row>
    <row r="324" spans="1:6" x14ac:dyDescent="0.3">
      <c r="A324" t="s">
        <v>43</v>
      </c>
      <c r="B324">
        <v>25</v>
      </c>
      <c r="C324">
        <v>5</v>
      </c>
      <c r="D324" t="s">
        <v>261</v>
      </c>
      <c r="E324" t="s">
        <v>661</v>
      </c>
      <c r="F324" t="s">
        <v>135</v>
      </c>
    </row>
    <row r="325" spans="1:6" x14ac:dyDescent="0.3">
      <c r="A325" t="s">
        <v>42</v>
      </c>
      <c r="B325">
        <v>25</v>
      </c>
      <c r="C325">
        <v>1</v>
      </c>
      <c r="D325" t="s">
        <v>245</v>
      </c>
      <c r="E325" t="s">
        <v>661</v>
      </c>
      <c r="F325" t="s">
        <v>135</v>
      </c>
    </row>
    <row r="326" spans="1:6" x14ac:dyDescent="0.3">
      <c r="A326" t="s">
        <v>45</v>
      </c>
      <c r="B326">
        <v>25</v>
      </c>
      <c r="C326">
        <v>1</v>
      </c>
      <c r="D326" t="s">
        <v>249</v>
      </c>
      <c r="E326" t="s">
        <v>661</v>
      </c>
      <c r="F326" t="s">
        <v>135</v>
      </c>
    </row>
    <row r="327" spans="1:6" x14ac:dyDescent="0.3">
      <c r="A327" t="s">
        <v>45</v>
      </c>
      <c r="B327">
        <v>25</v>
      </c>
      <c r="C327">
        <v>1</v>
      </c>
      <c r="D327" t="s">
        <v>249</v>
      </c>
      <c r="E327" t="s">
        <v>660</v>
      </c>
      <c r="F327" t="s">
        <v>135</v>
      </c>
    </row>
    <row r="328" spans="1:6" x14ac:dyDescent="0.3">
      <c r="A328" t="s">
        <v>45</v>
      </c>
      <c r="B328">
        <v>25</v>
      </c>
      <c r="C328">
        <v>1</v>
      </c>
      <c r="D328" t="s">
        <v>249</v>
      </c>
      <c r="E328" t="s">
        <v>662</v>
      </c>
      <c r="F328" t="s">
        <v>135</v>
      </c>
    </row>
    <row r="329" spans="1:6" x14ac:dyDescent="0.3">
      <c r="A329" t="s">
        <v>44</v>
      </c>
      <c r="B329">
        <v>25</v>
      </c>
      <c r="C329">
        <v>5</v>
      </c>
      <c r="D329" t="s">
        <v>262</v>
      </c>
      <c r="E329" t="s">
        <v>662</v>
      </c>
      <c r="F329" t="s">
        <v>135</v>
      </c>
    </row>
    <row r="330" spans="1:6" x14ac:dyDescent="0.3">
      <c r="A330" t="s">
        <v>161</v>
      </c>
      <c r="B330">
        <v>24</v>
      </c>
      <c r="C330">
        <v>1</v>
      </c>
      <c r="D330" t="s">
        <v>513</v>
      </c>
      <c r="E330" t="s">
        <v>661</v>
      </c>
      <c r="F330" t="s">
        <v>135</v>
      </c>
    </row>
    <row r="331" spans="1:6" x14ac:dyDescent="0.3">
      <c r="A331" t="s">
        <v>160</v>
      </c>
      <c r="B331">
        <v>24</v>
      </c>
      <c r="C331">
        <v>1</v>
      </c>
      <c r="D331" t="s">
        <v>512</v>
      </c>
      <c r="E331" t="s">
        <v>661</v>
      </c>
      <c r="F331" t="s">
        <v>135</v>
      </c>
    </row>
    <row r="332" spans="1:6" x14ac:dyDescent="0.3">
      <c r="A332" t="s">
        <v>54</v>
      </c>
      <c r="B332">
        <v>18</v>
      </c>
      <c r="C332">
        <v>1</v>
      </c>
      <c r="D332" t="s">
        <v>264</v>
      </c>
      <c r="E332" t="s">
        <v>661</v>
      </c>
      <c r="F332" t="s">
        <v>135</v>
      </c>
    </row>
    <row r="333" spans="1:6" x14ac:dyDescent="0.3">
      <c r="A333" t="s">
        <v>53</v>
      </c>
      <c r="B333">
        <v>18</v>
      </c>
      <c r="C333">
        <v>1</v>
      </c>
      <c r="D333" t="s">
        <v>263</v>
      </c>
      <c r="E333" t="s">
        <v>661</v>
      </c>
      <c r="F333" t="s">
        <v>135</v>
      </c>
    </row>
    <row r="334" spans="1:6" x14ac:dyDescent="0.3">
      <c r="A334" t="s">
        <v>56</v>
      </c>
      <c r="B334">
        <v>18</v>
      </c>
      <c r="C334">
        <v>1</v>
      </c>
      <c r="D334" t="s">
        <v>266</v>
      </c>
      <c r="E334" t="s">
        <v>661</v>
      </c>
      <c r="F334" t="s">
        <v>135</v>
      </c>
    </row>
    <row r="335" spans="1:6" x14ac:dyDescent="0.3">
      <c r="A335" t="s">
        <v>55</v>
      </c>
      <c r="B335">
        <v>18</v>
      </c>
      <c r="C335">
        <v>1</v>
      </c>
      <c r="D335" t="s">
        <v>265</v>
      </c>
      <c r="E335" t="s">
        <v>661</v>
      </c>
      <c r="F335" t="s">
        <v>135</v>
      </c>
    </row>
    <row r="336" spans="1:6" x14ac:dyDescent="0.3">
      <c r="A336" t="s">
        <v>64</v>
      </c>
      <c r="B336">
        <v>7</v>
      </c>
      <c r="C336">
        <v>1</v>
      </c>
      <c r="D336" t="s">
        <v>277</v>
      </c>
      <c r="E336" t="s">
        <v>661</v>
      </c>
      <c r="F336" t="s">
        <v>135</v>
      </c>
    </row>
    <row r="337" spans="1:6" x14ac:dyDescent="0.3">
      <c r="A337" t="s">
        <v>63</v>
      </c>
      <c r="B337">
        <v>7</v>
      </c>
      <c r="C337">
        <v>1</v>
      </c>
      <c r="D337" t="s">
        <v>276</v>
      </c>
      <c r="E337" t="s">
        <v>661</v>
      </c>
      <c r="F337" t="s">
        <v>135</v>
      </c>
    </row>
    <row r="338" spans="1:6" x14ac:dyDescent="0.3">
      <c r="A338" t="s">
        <v>77</v>
      </c>
      <c r="B338">
        <v>15</v>
      </c>
      <c r="C338">
        <v>1</v>
      </c>
      <c r="D338" t="s">
        <v>297</v>
      </c>
      <c r="E338" t="s">
        <v>661</v>
      </c>
      <c r="F338" t="s">
        <v>135</v>
      </c>
    </row>
    <row r="339" spans="1:6" x14ac:dyDescent="0.3">
      <c r="A339" t="s">
        <v>76</v>
      </c>
      <c r="B339">
        <v>15</v>
      </c>
      <c r="C339">
        <v>1</v>
      </c>
      <c r="D339" t="s">
        <v>296</v>
      </c>
      <c r="E339" t="s">
        <v>661</v>
      </c>
      <c r="F339" t="s">
        <v>135</v>
      </c>
    </row>
    <row r="340" spans="1:6" x14ac:dyDescent="0.3">
      <c r="A340" t="s">
        <v>65</v>
      </c>
      <c r="B340">
        <v>1</v>
      </c>
      <c r="C340">
        <v>1</v>
      </c>
      <c r="D340" t="s">
        <v>278</v>
      </c>
      <c r="E340" t="s">
        <v>661</v>
      </c>
      <c r="F340" t="s">
        <v>135</v>
      </c>
    </row>
    <row r="341" spans="1:6" x14ac:dyDescent="0.3">
      <c r="A341" t="s">
        <v>148</v>
      </c>
      <c r="B341">
        <v>10</v>
      </c>
      <c r="C341">
        <v>1</v>
      </c>
      <c r="D341" t="s">
        <v>499</v>
      </c>
      <c r="E341" t="s">
        <v>661</v>
      </c>
      <c r="F341" t="s">
        <v>135</v>
      </c>
    </row>
    <row r="342" spans="1:6" x14ac:dyDescent="0.3">
      <c r="A342" t="s">
        <v>519</v>
      </c>
      <c r="B342">
        <v>13</v>
      </c>
      <c r="C342">
        <v>1</v>
      </c>
      <c r="D342" t="s">
        <v>580</v>
      </c>
      <c r="E342" t="s">
        <v>661</v>
      </c>
      <c r="F342" t="s">
        <v>135</v>
      </c>
    </row>
    <row r="343" spans="1:6" x14ac:dyDescent="0.3">
      <c r="A343" t="s">
        <v>526</v>
      </c>
      <c r="B343">
        <v>17</v>
      </c>
      <c r="C343">
        <v>10</v>
      </c>
      <c r="D343" t="s">
        <v>613</v>
      </c>
      <c r="E343" t="s">
        <v>661</v>
      </c>
      <c r="F343" t="s">
        <v>135</v>
      </c>
    </row>
    <row r="344" spans="1:6" x14ac:dyDescent="0.3">
      <c r="A344" t="s">
        <v>550</v>
      </c>
      <c r="B344">
        <v>41</v>
      </c>
      <c r="C344">
        <v>1</v>
      </c>
      <c r="D344" t="s">
        <v>578</v>
      </c>
      <c r="E344" t="s">
        <v>661</v>
      </c>
      <c r="F344" t="s">
        <v>135</v>
      </c>
    </row>
    <row r="345" spans="1:6" x14ac:dyDescent="0.3">
      <c r="A345" t="s">
        <v>154</v>
      </c>
      <c r="B345">
        <v>1</v>
      </c>
      <c r="C345">
        <v>1</v>
      </c>
      <c r="D345" t="s">
        <v>506</v>
      </c>
      <c r="E345" t="s">
        <v>661</v>
      </c>
      <c r="F345" t="s">
        <v>135</v>
      </c>
    </row>
    <row r="346" spans="1:6" x14ac:dyDescent="0.3">
      <c r="A346" t="s">
        <v>150</v>
      </c>
      <c r="B346">
        <v>3</v>
      </c>
      <c r="C346">
        <v>1</v>
      </c>
      <c r="D346" t="s">
        <v>501</v>
      </c>
      <c r="E346" t="s">
        <v>661</v>
      </c>
      <c r="F346" t="s">
        <v>135</v>
      </c>
    </row>
    <row r="347" spans="1:6" x14ac:dyDescent="0.3">
      <c r="A347" t="s">
        <v>516</v>
      </c>
      <c r="B347">
        <v>18</v>
      </c>
      <c r="C347">
        <v>1</v>
      </c>
      <c r="D347" t="s">
        <v>575</v>
      </c>
      <c r="E347" t="s">
        <v>661</v>
      </c>
      <c r="F347" t="s">
        <v>135</v>
      </c>
    </row>
    <row r="348" spans="1:6" x14ac:dyDescent="0.3">
      <c r="A348" t="s">
        <v>156</v>
      </c>
      <c r="B348">
        <v>5</v>
      </c>
      <c r="C348">
        <v>1</v>
      </c>
      <c r="D348" t="s">
        <v>508</v>
      </c>
      <c r="E348" t="s">
        <v>661</v>
      </c>
      <c r="F348" t="s">
        <v>135</v>
      </c>
    </row>
    <row r="349" spans="1:6" x14ac:dyDescent="0.3">
      <c r="A349" t="s">
        <v>158</v>
      </c>
      <c r="B349">
        <v>5</v>
      </c>
      <c r="C349">
        <v>1</v>
      </c>
      <c r="D349" t="s">
        <v>510</v>
      </c>
      <c r="E349" t="s">
        <v>661</v>
      </c>
      <c r="F349" t="s">
        <v>135</v>
      </c>
    </row>
  </sheetData>
  <autoFilter ref="A1:F349" xr:uid="{00000000-0001-0000-0400-000000000000}"/>
  <sortState xmlns:xlrd2="http://schemas.microsoft.com/office/spreadsheetml/2017/richdata2" ref="A2:F279">
    <sortCondition ref="A2:A279"/>
    <sortCondition ref="D2:D279"/>
  </sortState>
  <printOptions gridLines="1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19" ma:contentTypeDescription="Create a new document." ma:contentTypeScope="" ma:versionID="d40b3e6283001fb57e5088f84fb23d5e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aadbb8160917885bdc8cfb32badaafe9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2022-03-11T19:48:24+00:00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lcf76f155ced4ddcb4097134ff3c332f xmlns="ed970698-2d60-4bab-a048-d9be527522d9">
      <Terms xmlns="http://schemas.microsoft.com/office/infopath/2007/PartnerControls"/>
    </lcf76f155ced4ddcb4097134ff3c332f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</documentManagement>
</p:properties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8E8B14ED-F7BA-4657-9362-EF448D0716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8b03727f-4454-4722-b3e6-018d8dcaf2fd"/>
    <ds:schemaRef ds:uri="ed970698-2d60-4bab-a048-d9be527522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481990-3E98-4259-89B5-FE2148A890E1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http://schemas.microsoft.com/sharepoint.v3"/>
    <ds:schemaRef ds:uri="ed970698-2d60-4bab-a048-d9be527522d9"/>
  </ds:schemaRefs>
</ds:datastoreItem>
</file>

<file path=customXml/itemProps3.xml><?xml version="1.0" encoding="utf-8"?>
<ds:datastoreItem xmlns:ds="http://schemas.openxmlformats.org/officeDocument/2006/customXml" ds:itemID="{B6D3E037-861A-46EB-BB30-C414E7162990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61DCB848-0FC9-4A5C-94E8-2B7CB2E1BC05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F69E5BA5-70F0-4BC6-B83E-5A51A83B1E08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Sequence_210806</vt:lpstr>
      <vt:lpstr>Sequence_210827</vt:lpstr>
      <vt:lpstr>Sequence_220127</vt:lpstr>
      <vt:lpstr>2021_SURGE_anions</vt:lpstr>
      <vt:lpstr>long_format</vt:lpstr>
    </vt:vector>
  </TitlesOfParts>
  <Company>U.S. EPA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U.S. EPA User or Contractor</dc:creator>
  <cp:lastModifiedBy>Beaulieu, Jake</cp:lastModifiedBy>
  <dcterms:created xsi:type="dcterms:W3CDTF">2021-09-16T14:22:16Z</dcterms:created>
  <dcterms:modified xsi:type="dcterms:W3CDTF">2025-08-22T19:06:19Z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EPA_x0020_Subject">
    <vt:lpwstr/>
  </property>
  <property fmtid="{D5CDD505-2E9C-101B-9397-08002B2CF9AE}" pid="4" name="Document Type">
    <vt:lpwstr/>
  </property>
  <property fmtid="{D5CDD505-2E9C-101B-9397-08002B2CF9AE}" pid="5" name="e3f09c3df709400db2417a7161762d62">
    <vt:lpwstr/>
  </property>
  <property fmtid="{D5CDD505-2E9C-101B-9397-08002B2CF9AE}" pid="6" name="MediaServiceImageTags">
    <vt:lpwstr/>
  </property>
</Properties>
</file>